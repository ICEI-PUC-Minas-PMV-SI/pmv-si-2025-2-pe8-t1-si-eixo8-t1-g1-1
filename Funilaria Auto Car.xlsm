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7ad59472b395c45/Área de Trabalho/Semestre 8 2025-02/Trabalho de Conclusao de Curso/"/>
    </mc:Choice>
  </mc:AlternateContent>
  <xr:revisionPtr revIDLastSave="2622" documentId="14_{3E1DFFC1-CC78-4840-BE16-5D8608C826B5}" xr6:coauthVersionLast="47" xr6:coauthVersionMax="47" xr10:uidLastSave="{20AEF8FC-F27B-4FFD-9705-390D71D7DD9B}"/>
  <bookViews>
    <workbookView xWindow="-110" yWindow="-110" windowWidth="27580" windowHeight="18100" tabRatio="945" xr2:uid="{00000000-000D-0000-FFFF-FFFF00000000}"/>
  </bookViews>
  <sheets>
    <sheet name="Home" sheetId="19" r:id="rId1"/>
    <sheet name="Usuários do Sistema-Funcionário" sheetId="23" state="veryHidden" r:id="rId2"/>
    <sheet name="Lista de Clientes" sheetId="18" state="veryHidden" r:id="rId3"/>
    <sheet name="Serviços" sheetId="20" state="veryHidden" r:id="rId4"/>
    <sheet name="Fornecedor" sheetId="22" state="veryHidden" r:id="rId5"/>
    <sheet name="Materiais" sheetId="21" state="veryHidden" r:id="rId6"/>
    <sheet name="Padronização de Serv-Materiais" sheetId="15" state="veryHidden" r:id="rId7"/>
    <sheet name="Ordem de Serviço" sheetId="1" state="veryHidden" r:id="rId8"/>
    <sheet name="Orcamentos" sheetId="6" state="veryHidden" r:id="rId9"/>
    <sheet name="Movimentacao de Estoque" sheetId="8" state="veryHidden" r:id="rId10"/>
    <sheet name="Relatorios - Profit and Loss" sheetId="24" state="veryHidden" r:id="rId11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5" l="1"/>
  <c r="D15" i="15"/>
  <c r="E14" i="15"/>
  <c r="D14" i="15"/>
  <c r="E13" i="15"/>
  <c r="D13" i="15"/>
  <c r="E12" i="15"/>
  <c r="D12" i="15"/>
  <c r="F2" i="15"/>
  <c r="C4" i="19"/>
  <c r="F5" i="15"/>
  <c r="F6" i="15"/>
  <c r="F7" i="15"/>
  <c r="F3" i="15"/>
  <c r="F4" i="15"/>
  <c r="I42" i="1"/>
  <c r="J30" i="1"/>
  <c r="J29" i="1"/>
  <c r="J28" i="1"/>
  <c r="J27" i="1"/>
  <c r="F35" i="1"/>
  <c r="F36" i="1"/>
  <c r="F37" i="1"/>
  <c r="M28" i="1" l="1"/>
  <c r="N28" i="1" s="1"/>
  <c r="M30" i="1"/>
  <c r="N30" i="1" s="1"/>
  <c r="M29" i="1"/>
  <c r="N29" i="1" s="1"/>
  <c r="M27" i="1"/>
  <c r="N27" i="1" s="1"/>
</calcChain>
</file>

<file path=xl/sharedStrings.xml><?xml version="1.0" encoding="utf-8"?>
<sst xmlns="http://schemas.openxmlformats.org/spreadsheetml/2006/main" count="440" uniqueCount="262">
  <si>
    <t>id_cliente</t>
  </si>
  <si>
    <t>telefone</t>
  </si>
  <si>
    <t>email</t>
  </si>
  <si>
    <t>endereco</t>
  </si>
  <si>
    <t>id_veiculo</t>
  </si>
  <si>
    <t>marca</t>
  </si>
  <si>
    <t>modelo</t>
  </si>
  <si>
    <t>ano</t>
  </si>
  <si>
    <t>placa</t>
  </si>
  <si>
    <t>Ford</t>
  </si>
  <si>
    <t>Fiesta</t>
  </si>
  <si>
    <t>ABC1A23</t>
  </si>
  <si>
    <t>id_servico</t>
  </si>
  <si>
    <t>descricao</t>
  </si>
  <si>
    <t>categoria</t>
  </si>
  <si>
    <t>Pintura</t>
  </si>
  <si>
    <t>id_material</t>
  </si>
  <si>
    <t>unidade</t>
  </si>
  <si>
    <t>estoque_minimo</t>
  </si>
  <si>
    <t>Tinta A</t>
  </si>
  <si>
    <t>Lixa P600</t>
  </si>
  <si>
    <t>Verniz</t>
  </si>
  <si>
    <t>litro</t>
  </si>
  <si>
    <t>id_servico_material</t>
  </si>
  <si>
    <t>quantidade_padrao</t>
  </si>
  <si>
    <t>id_orcamento</t>
  </si>
  <si>
    <t>data_orcamento</t>
  </si>
  <si>
    <t>mao_obra</t>
  </si>
  <si>
    <t>materiais</t>
  </si>
  <si>
    <t>margem_lucro</t>
  </si>
  <si>
    <t>valor_total</t>
  </si>
  <si>
    <t>aprovado</t>
  </si>
  <si>
    <t>id_os</t>
  </si>
  <si>
    <t>data_abertura</t>
  </si>
  <si>
    <t>data_conclusao</t>
  </si>
  <si>
    <t>status</t>
  </si>
  <si>
    <t>observacoes</t>
  </si>
  <si>
    <t>Em Andamento</t>
  </si>
  <si>
    <t>id_mov</t>
  </si>
  <si>
    <t>tipo_movimentacao</t>
  </si>
  <si>
    <t>quantidade</t>
  </si>
  <si>
    <t>data_mov</t>
  </si>
  <si>
    <t>Saída</t>
  </si>
  <si>
    <t>Entrada</t>
  </si>
  <si>
    <t>Uso OS1</t>
  </si>
  <si>
    <t>Uso OS1 extra</t>
  </si>
  <si>
    <t>Compra inicial</t>
  </si>
  <si>
    <t>id_lancamento</t>
  </si>
  <si>
    <t>tipo</t>
  </si>
  <si>
    <t>valor</t>
  </si>
  <si>
    <t>data_lancamento</t>
  </si>
  <si>
    <t>Serviço</t>
  </si>
  <si>
    <t>Pré-pagamento</t>
  </si>
  <si>
    <t>Administrador</t>
  </si>
  <si>
    <t>Material</t>
  </si>
  <si>
    <t>Telefone</t>
  </si>
  <si>
    <t>Endereço</t>
  </si>
  <si>
    <t>CPF</t>
  </si>
  <si>
    <t>Nome Completo</t>
  </si>
  <si>
    <t>Bairro</t>
  </si>
  <si>
    <t>Cidade</t>
  </si>
  <si>
    <t>Estado (UF)</t>
  </si>
  <si>
    <t>Email</t>
  </si>
  <si>
    <t>Sara Caroline Vidal de Souza</t>
  </si>
  <si>
    <t>+55 (31) 99888-9090</t>
  </si>
  <si>
    <t>saracarolinevs@hotmail.com</t>
  </si>
  <si>
    <t xml:space="preserve">Rua das Flores </t>
  </si>
  <si>
    <t>Número</t>
  </si>
  <si>
    <t>143A</t>
  </si>
  <si>
    <t>Santa Mônica</t>
  </si>
  <si>
    <t>Belo Horizonte</t>
  </si>
  <si>
    <t>Minas Gerais</t>
  </si>
  <si>
    <t>Cadastrar Novo Cliente</t>
  </si>
  <si>
    <t>Número de Cadastro</t>
  </si>
  <si>
    <t>Lista de todos os clientes -- &gt; busca pode ser por meio de filtros</t>
  </si>
  <si>
    <t>111.111.111-11</t>
  </si>
  <si>
    <t>Buscar Cleinte por CPF</t>
  </si>
  <si>
    <t>Veículo ativo</t>
  </si>
  <si>
    <t>sim</t>
  </si>
  <si>
    <t>data de cadastro</t>
  </si>
  <si>
    <t>Data de Cadastro</t>
  </si>
  <si>
    <t>Cliente ativo</t>
  </si>
  <si>
    <t>mascara</t>
  </si>
  <si>
    <t>regex</t>
  </si>
  <si>
    <t>bit</t>
  </si>
  <si>
    <t>getdate</t>
  </si>
  <si>
    <t>id primary autoident</t>
  </si>
  <si>
    <t>Veículos vinculados ao cliente</t>
  </si>
  <si>
    <t>link</t>
  </si>
  <si>
    <t>Serviços Vinculados ao veículo</t>
  </si>
  <si>
    <t>Carregar lista de servicos</t>
  </si>
  <si>
    <t>Link</t>
  </si>
  <si>
    <t>Botao-link</t>
  </si>
  <si>
    <t>Custo de Material Padrão</t>
  </si>
  <si>
    <t>Novo Orçamento aqui…</t>
  </si>
  <si>
    <t>valor faltante</t>
  </si>
  <si>
    <t>Valor Total</t>
  </si>
  <si>
    <t>Serviço Executado por</t>
  </si>
  <si>
    <t>Rodrigo</t>
  </si>
  <si>
    <t>Lista</t>
  </si>
  <si>
    <t>lookup</t>
  </si>
  <si>
    <t>calendario</t>
  </si>
  <si>
    <t>Custo de Material</t>
  </si>
  <si>
    <t>Materias Necessários para a execução do serviço</t>
  </si>
  <si>
    <t>executado</t>
  </si>
  <si>
    <t>Material em estoque</t>
  </si>
  <si>
    <t>formula</t>
  </si>
  <si>
    <t>valor padrào de mao de obra</t>
  </si>
  <si>
    <t>lista</t>
  </si>
  <si>
    <t>checklist - Padrão de Qualidade</t>
  </si>
  <si>
    <t>considerar margem de lucro</t>
  </si>
  <si>
    <t>Esperando Aprovação de Orçamento</t>
  </si>
  <si>
    <t>entra na lista só se o orcamento for aprovado</t>
  </si>
  <si>
    <t>Fluxo de caixa - Pagamentos</t>
  </si>
  <si>
    <t>id_funcioanrio</t>
  </si>
  <si>
    <t>id_funcionario</t>
  </si>
  <si>
    <t>nome_produto</t>
  </si>
  <si>
    <t>custo_de_compra_unitario</t>
  </si>
  <si>
    <t>nome_fabricante</t>
  </si>
  <si>
    <t>id_fornecedor</t>
  </si>
  <si>
    <t>bairro</t>
  </si>
  <si>
    <t>cidade</t>
  </si>
  <si>
    <t>estado</t>
  </si>
  <si>
    <t>cnpj</t>
  </si>
  <si>
    <t>nome_fantasia</t>
  </si>
  <si>
    <t>site</t>
  </si>
  <si>
    <t>tempo_entrega</t>
  </si>
  <si>
    <t>Massa Plástica</t>
  </si>
  <si>
    <t>kilo</t>
  </si>
  <si>
    <t>a</t>
  </si>
  <si>
    <t>b</t>
  </si>
  <si>
    <t>aa</t>
  </si>
  <si>
    <t>ss</t>
  </si>
  <si>
    <t>aaa</t>
  </si>
  <si>
    <t>sss</t>
  </si>
  <si>
    <t>cc</t>
  </si>
  <si>
    <t>ee</t>
  </si>
  <si>
    <t>tt</t>
  </si>
  <si>
    <t>eee</t>
  </si>
  <si>
    <t>bb</t>
  </si>
  <si>
    <t>ativo</t>
  </si>
  <si>
    <t>data_entrada</t>
  </si>
  <si>
    <t>E-mail</t>
  </si>
  <si>
    <t>Nr. Casa/ Apt</t>
  </si>
  <si>
    <t>Cliente Ativo</t>
  </si>
  <si>
    <t>Editar</t>
  </si>
  <si>
    <t>999.999.999-99</t>
  </si>
  <si>
    <t>test</t>
  </si>
  <si>
    <t>ID</t>
  </si>
  <si>
    <t>(99) 9 9999-9999</t>
  </si>
  <si>
    <t>saravidal@gmail.com</t>
  </si>
  <si>
    <t>666.666.666-66</t>
  </si>
  <si>
    <t>(66) 6 6666-6666</t>
  </si>
  <si>
    <t>6</t>
  </si>
  <si>
    <t>888.988.888-88</t>
  </si>
  <si>
    <t>(77) 7 8888-8999</t>
  </si>
  <si>
    <t>7</t>
  </si>
  <si>
    <t>Rodrigo Cardoso Moreira</t>
  </si>
  <si>
    <t>999.999.999-77</t>
  </si>
  <si>
    <t>(09) 9 9888-8888</t>
  </si>
  <si>
    <t>teste edição</t>
  </si>
  <si>
    <t>Descrição</t>
  </si>
  <si>
    <t>Market Costs</t>
  </si>
  <si>
    <t>industry cost</t>
  </si>
  <si>
    <t>valor total de venda do serviço</t>
  </si>
  <si>
    <t>Valor total</t>
  </si>
  <si>
    <t>Categoria de custos</t>
  </si>
  <si>
    <t>Porcentagem de lucro (Pnl)</t>
  </si>
  <si>
    <t>Custo do serviço (mão de obra)</t>
  </si>
  <si>
    <t>Serviço ativo</t>
  </si>
  <si>
    <t>Entrega de veículo</t>
  </si>
  <si>
    <t>Coleta de veículo</t>
  </si>
  <si>
    <t>Manutenção</t>
  </si>
  <si>
    <t>Troca de óleo</t>
  </si>
  <si>
    <t>Troca de pastilha de freio</t>
  </si>
  <si>
    <t>Interior</t>
  </si>
  <si>
    <t>Troca de bancos</t>
  </si>
  <si>
    <t>Asistência à domicílio</t>
  </si>
  <si>
    <t>w</t>
  </si>
  <si>
    <t>122.121.332-44</t>
  </si>
  <si>
    <t>123.111.111-11</t>
  </si>
  <si>
    <t>222.111.111-11</t>
  </si>
  <si>
    <t>(11) 1 1111-1111</t>
  </si>
  <si>
    <t>1</t>
  </si>
  <si>
    <t>BA</t>
  </si>
  <si>
    <t>as</t>
  </si>
  <si>
    <t>(33) 3 3333-3333</t>
  </si>
  <si>
    <t>3</t>
  </si>
  <si>
    <t>642.478.444-44</t>
  </si>
  <si>
    <t>334</t>
  </si>
  <si>
    <t>344</t>
  </si>
  <si>
    <t>Funcionário</t>
  </si>
  <si>
    <t>Fabricante</t>
  </si>
  <si>
    <t>Fornecedor</t>
  </si>
  <si>
    <t>Unidade</t>
  </si>
  <si>
    <t>Custo de Compra da Unidade</t>
  </si>
  <si>
    <t>Estoque</t>
  </si>
  <si>
    <t>Ativo</t>
  </si>
  <si>
    <t>CNPJ</t>
  </si>
  <si>
    <t>Nome Fantasia</t>
  </si>
  <si>
    <t>Estado</t>
  </si>
  <si>
    <t>Site</t>
  </si>
  <si>
    <t>Tempo de entrega (em dias)</t>
  </si>
  <si>
    <t>Fornecedor ativo</t>
  </si>
  <si>
    <t>Cargo</t>
  </si>
  <si>
    <t>Data de Nascimento</t>
  </si>
  <si>
    <t>Situação</t>
  </si>
  <si>
    <t>Salário</t>
  </si>
  <si>
    <t>Perfil</t>
  </si>
  <si>
    <t>Funcionário ativo</t>
  </si>
  <si>
    <t>Data de cadastro</t>
  </si>
  <si>
    <t>Proprietário</t>
  </si>
  <si>
    <t>Preço Médio (Mão de obra)</t>
  </si>
  <si>
    <t>Pintura de carro inteiro</t>
  </si>
  <si>
    <t>Nome completo editado após pesquisar por botao de pesquisa</t>
  </si>
  <si>
    <t>teste pesquisa</t>
  </si>
  <si>
    <t>Avenida Portugal</t>
  </si>
  <si>
    <t>162</t>
  </si>
  <si>
    <t>Pampulha</t>
  </si>
  <si>
    <t>MG</t>
  </si>
  <si>
    <t>Rua Augusto dos Anjos</t>
  </si>
  <si>
    <t>Rua Cinco</t>
  </si>
  <si>
    <t>1234</t>
  </si>
  <si>
    <t>Rua Oito</t>
  </si>
  <si>
    <t>Sergipe</t>
  </si>
  <si>
    <t>São Paulo</t>
  </si>
  <si>
    <t>SP</t>
  </si>
  <si>
    <t>Avenida Getúlio Vargas</t>
  </si>
  <si>
    <t>485</t>
  </si>
  <si>
    <t>Brasil</t>
  </si>
  <si>
    <t>Endereço Test</t>
  </si>
  <si>
    <t>1890</t>
  </si>
  <si>
    <t>Teste</t>
  </si>
  <si>
    <t>Cidade teste</t>
  </si>
  <si>
    <t>email@hotmail.com</t>
  </si>
  <si>
    <t>test@yahoo.com</t>
  </si>
  <si>
    <t>Sara Vidal</t>
  </si>
  <si>
    <t>Straat van Corsica, 162 - Amersfoort - Utrecht / Netherlands</t>
  </si>
  <si>
    <t>085.899.376-74</t>
  </si>
  <si>
    <t>2025-10-12</t>
  </si>
  <si>
    <t>Administrador geral</t>
  </si>
  <si>
    <t>João Proprietário</t>
  </si>
  <si>
    <t>rua 2</t>
  </si>
  <si>
    <t>(11) 9 8888-7777</t>
  </si>
  <si>
    <t>989.987.234-87</t>
  </si>
  <si>
    <t>1980-05-16</t>
  </si>
  <si>
    <t>Proprietário com salário mensal estipulado</t>
  </si>
  <si>
    <t>José Cruz</t>
  </si>
  <si>
    <t>rua 3</t>
  </si>
  <si>
    <t>(11) 9 9876-2876</t>
  </si>
  <si>
    <t>888.776.343.85</t>
  </si>
  <si>
    <t>1992-09-25</t>
  </si>
  <si>
    <t>Funcionário sem vínculo empregatício - Pagamento acordado: 80% do lucro por serviço</t>
  </si>
  <si>
    <t>teste</t>
  </si>
  <si>
    <t>testes</t>
  </si>
  <si>
    <t>(11) 9 8989-8542</t>
  </si>
  <si>
    <t>Funcionario</t>
  </si>
  <si>
    <t>025.236.254-89</t>
  </si>
  <si>
    <t>1987-06-24</t>
  </si>
  <si>
    <t>123.456.464-54</t>
  </si>
  <si>
    <t>belo horizonte</t>
  </si>
  <si>
    <t>Hoje Editado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</si>
</sst>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&quot;€&quot;\ * #,##0.00_ ;_ &quot;€&quot;\ * \-#,##0.00_ ;_ &quot;€&quot;\ * &quot;-&quot;??_ ;_ @_ "/>
    <numFmt numFmtId="165" formatCode="_ * #,##0.00_ ;_ * \-#,##0.00_ ;_ * &quot;-&quot;??_ ;_ @_ "/>
    <numFmt numFmtId="166" formatCode="yyyy\-mm\-dd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/>
      <diagonal/>
    </border>
    <border>
      <left/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7" fillId="13" borderId="0" applyNumberFormat="0" applyBorder="0" applyAlignment="0" applyProtection="0"/>
    <xf numFmtId="9" fontId="2" fillId="0" borderId="0" applyFont="0" applyFill="0" applyBorder="0" applyAlignment="0" applyProtection="0"/>
  </cellStyleXfs>
  <cellXfs count="74">
    <xf numFmtId="0" fontId="0" fillId="0" borderId="0" xfId="0"/>
    <xf numFmtId="166" fontId="0" fillId="0" borderId="0" xfId="0" applyNumberFormat="1"/>
    <xf numFmtId="0" fontId="0" fillId="3" borderId="0" xfId="0" applyFill="1"/>
    <xf numFmtId="0" fontId="0" fillId="3" borderId="1" xfId="0" applyFill="1" applyBorder="1"/>
    <xf numFmtId="0" fontId="0" fillId="4" borderId="1" xfId="0" applyFill="1" applyBorder="1"/>
    <xf numFmtId="0" fontId="0" fillId="4" borderId="1" xfId="0" quotePrefix="1" applyFill="1" applyBorder="1"/>
    <xf numFmtId="0" fontId="3" fillId="4" borderId="1" xfId="2" applyFill="1" applyBorder="1"/>
    <xf numFmtId="14" fontId="0" fillId="5" borderId="1" xfId="0" applyNumberFormat="1" applyFill="1" applyBorder="1"/>
    <xf numFmtId="0" fontId="0" fillId="2" borderId="5" xfId="0" applyFill="1" applyBorder="1"/>
    <xf numFmtId="0" fontId="0" fillId="8" borderId="5" xfId="0" applyFill="1" applyBorder="1"/>
    <xf numFmtId="0" fontId="0" fillId="6" borderId="5" xfId="0" applyFill="1" applyBorder="1"/>
    <xf numFmtId="0" fontId="1" fillId="9" borderId="2" xfId="0" applyFont="1" applyFill="1" applyBorder="1"/>
    <xf numFmtId="0" fontId="1" fillId="9" borderId="3" xfId="0" applyFont="1" applyFill="1" applyBorder="1"/>
    <xf numFmtId="0" fontId="1" fillId="10" borderId="3" xfId="0" applyFont="1" applyFill="1" applyBorder="1"/>
    <xf numFmtId="0" fontId="0" fillId="2" borderId="6" xfId="0" applyFill="1" applyBorder="1"/>
    <xf numFmtId="0" fontId="0" fillId="5" borderId="0" xfId="0" applyFill="1"/>
    <xf numFmtId="0" fontId="0" fillId="11" borderId="1" xfId="0" applyFill="1" applyBorder="1"/>
    <xf numFmtId="164" fontId="0" fillId="5" borderId="0" xfId="1" applyFont="1" applyFill="1"/>
    <xf numFmtId="0" fontId="5" fillId="0" borderId="0" xfId="0" applyFont="1"/>
    <xf numFmtId="0" fontId="5" fillId="5" borderId="0" xfId="0" applyFont="1" applyFill="1"/>
    <xf numFmtId="0" fontId="5" fillId="5" borderId="1" xfId="0" applyFont="1" applyFill="1" applyBorder="1"/>
    <xf numFmtId="0" fontId="5" fillId="7" borderId="5" xfId="0" applyFont="1" applyFill="1" applyBorder="1"/>
    <xf numFmtId="0" fontId="5" fillId="7" borderId="4" xfId="0" applyFont="1" applyFill="1" applyBorder="1"/>
    <xf numFmtId="0" fontId="5" fillId="3" borderId="0" xfId="0" applyFont="1" applyFill="1"/>
    <xf numFmtId="165" fontId="0" fillId="5" borderId="0" xfId="0" applyNumberFormat="1" applyFill="1"/>
    <xf numFmtId="14" fontId="6" fillId="12" borderId="0" xfId="0" applyNumberFormat="1" applyFont="1" applyFill="1"/>
    <xf numFmtId="0" fontId="8" fillId="15" borderId="10" xfId="3" applyFont="1" applyFill="1" applyBorder="1" applyAlignment="1">
      <alignment horizontal="center" vertical="center"/>
    </xf>
    <xf numFmtId="0" fontId="8" fillId="15" borderId="8" xfId="3" applyFont="1" applyFill="1" applyBorder="1" applyAlignment="1">
      <alignment horizontal="center" vertical="center"/>
    </xf>
    <xf numFmtId="0" fontId="8" fillId="15" borderId="9" xfId="3" applyFont="1" applyFill="1" applyBorder="1" applyAlignment="1">
      <alignment horizontal="center" vertical="center"/>
    </xf>
    <xf numFmtId="0" fontId="10" fillId="16" borderId="12" xfId="0" applyFont="1" applyFill="1" applyBorder="1"/>
    <xf numFmtId="0" fontId="0" fillId="2" borderId="13" xfId="0" applyFill="1" applyBorder="1"/>
    <xf numFmtId="0" fontId="0" fillId="17" borderId="13" xfId="0" applyFill="1" applyBorder="1"/>
    <xf numFmtId="0" fontId="11" fillId="16" borderId="12" xfId="0" applyFont="1" applyFill="1" applyBorder="1"/>
    <xf numFmtId="0" fontId="11" fillId="16" borderId="16" xfId="0" applyFont="1" applyFill="1" applyBorder="1"/>
    <xf numFmtId="0" fontId="9" fillId="2" borderId="13" xfId="0" applyFont="1" applyFill="1" applyBorder="1"/>
    <xf numFmtId="9" fontId="9" fillId="2" borderId="13" xfId="4" applyFont="1" applyFill="1" applyBorder="1"/>
    <xf numFmtId="0" fontId="9" fillId="2" borderId="17" xfId="0" applyFont="1" applyFill="1" applyBorder="1"/>
    <xf numFmtId="0" fontId="9" fillId="17" borderId="13" xfId="0" applyFont="1" applyFill="1" applyBorder="1"/>
    <xf numFmtId="9" fontId="9" fillId="17" borderId="13" xfId="4" applyFont="1" applyFill="1" applyBorder="1"/>
    <xf numFmtId="0" fontId="9" fillId="17" borderId="17" xfId="0" applyFont="1" applyFill="1" applyBorder="1"/>
    <xf numFmtId="0" fontId="9" fillId="17" borderId="14" xfId="0" applyFont="1" applyFill="1" applyBorder="1"/>
    <xf numFmtId="9" fontId="9" fillId="17" borderId="14" xfId="4" applyFont="1" applyFill="1" applyBorder="1"/>
    <xf numFmtId="0" fontId="9" fillId="17" borderId="15" xfId="0" applyFont="1" applyFill="1" applyBorder="1"/>
    <xf numFmtId="0" fontId="8" fillId="14" borderId="0" xfId="0" applyFont="1" applyFill="1"/>
    <xf numFmtId="0" fontId="8" fillId="5" borderId="7" xfId="3" applyNumberFormat="1" applyFont="1" applyFill="1" applyBorder="1" applyAlignment="1">
      <alignment horizontal="left" vertical="center"/>
    </xf>
    <xf numFmtId="14" fontId="8" fillId="5" borderId="11" xfId="3" applyNumberFormat="1" applyFont="1" applyFill="1" applyBorder="1" applyAlignment="1">
      <alignment horizontal="left" vertical="center"/>
    </xf>
    <xf numFmtId="0" fontId="8" fillId="5" borderId="7" xfId="0" applyFont="1" applyFill="1" applyBorder="1" applyAlignment="1">
      <alignment horizontal="left"/>
    </xf>
    <xf numFmtId="0" fontId="8" fillId="5" borderId="11" xfId="0" applyFont="1" applyFill="1" applyBorder="1" applyAlignment="1">
      <alignment horizontal="left"/>
    </xf>
    <xf numFmtId="2" fontId="8" fillId="5" borderId="8" xfId="0" applyNumberFormat="1" applyFont="1" applyFill="1" applyBorder="1" applyAlignment="1">
      <alignment horizontal="left"/>
    </xf>
    <xf numFmtId="0" fontId="8" fillId="12" borderId="0" xfId="0" applyFont="1" applyFill="1"/>
    <xf numFmtId="0" fontId="8" fillId="0" borderId="0" xfId="0" applyFont="1"/>
    <xf numFmtId="0" fontId="13" fillId="12" borderId="0" xfId="0" applyFont="1" applyFill="1"/>
    <xf numFmtId="14" fontId="13" fillId="12" borderId="0" xfId="0" applyNumberFormat="1" applyFont="1" applyFill="1" applyAlignment="1">
      <alignment horizontal="left"/>
    </xf>
    <xf numFmtId="0" fontId="14" fillId="12" borderId="0" xfId="0" applyFont="1" applyFill="1"/>
    <xf numFmtId="0" fontId="6" fillId="12" borderId="0" xfId="0" applyFont="1" applyFill="1"/>
    <xf numFmtId="0" fontId="14" fillId="0" borderId="0" xfId="0" applyFont="1"/>
    <xf numFmtId="0" fontId="8" fillId="5" borderId="7" xfId="3" applyFont="1" applyFill="1" applyBorder="1" applyAlignment="1">
      <alignment horizontal="left" vertical="center"/>
    </xf>
    <xf numFmtId="14" fontId="8" fillId="5" borderId="7" xfId="3" applyNumberFormat="1" applyFont="1" applyFill="1" applyBorder="1" applyAlignment="1">
      <alignment horizontal="left" vertical="center"/>
    </xf>
    <xf numFmtId="14" fontId="8" fillId="5" borderId="7" xfId="0" applyNumberFormat="1" applyFont="1" applyFill="1" applyBorder="1" applyAlignment="1">
      <alignment horizontal="left"/>
    </xf>
    <xf numFmtId="14" fontId="8" fillId="5" borderId="11" xfId="0" applyNumberFormat="1" applyFont="1" applyFill="1" applyBorder="1" applyAlignment="1">
      <alignment horizontal="left"/>
    </xf>
    <xf numFmtId="14" fontId="12" fillId="5" borderId="11" xfId="2" applyNumberFormat="1" applyFont="1" applyFill="1" applyBorder="1" applyAlignment="1">
      <alignment horizontal="left"/>
    </xf>
    <xf numFmtId="14" fontId="12" fillId="5" borderId="8" xfId="2" applyNumberFormat="1" applyFont="1" applyFill="1" applyBorder="1" applyAlignment="1">
      <alignment horizontal="left"/>
    </xf>
    <xf numFmtId="14" fontId="8" fillId="5" borderId="8" xfId="0" applyNumberFormat="1" applyFont="1" applyFill="1" applyBorder="1" applyAlignment="1">
      <alignment horizontal="left"/>
    </xf>
    <xf numFmtId="165" fontId="8" fillId="0" borderId="0" xfId="1" applyNumberFormat="1" applyFont="1"/>
    <xf numFmtId="0" fontId="3" fillId="5" borderId="0" xfId="2" applyFill="1" applyBorder="1" applyAlignment="1">
      <alignment horizontal="left" vertical="center"/>
    </xf>
    <xf numFmtId="0" fontId="3" fillId="5" borderId="0" xfId="2" applyFill="1" applyAlignment="1">
      <alignment horizontal="left"/>
    </xf>
    <xf numFmtId="0" fontId="3" fillId="5" borderId="0" xfId="2" applyFill="1" applyBorder="1" applyAlignment="1">
      <alignment horizontal="left"/>
    </xf>
    <xf numFmtId="14" fontId="3" fillId="5" borderId="11" xfId="2" applyNumberFormat="1" applyFill="1" applyBorder="1" applyAlignment="1">
      <alignment horizontal="left"/>
    </xf>
    <xf numFmtId="0" fontId="8" fillId="5" borderId="7" xfId="3" applyNumberFormat="1" applyFont="1" applyFill="1" applyBorder="1" applyAlignment="1">
      <alignment horizontal="left"/>
    </xf>
    <xf numFmtId="0" fontId="8" fillId="5" borderId="8" xfId="3" applyNumberFormat="1" applyFont="1" applyFill="1" applyBorder="1" applyAlignment="1">
      <alignment horizontal="left"/>
    </xf>
    <xf numFmtId="2" fontId="8" fillId="5" borderId="8" xfId="3" applyNumberFormat="1" applyFont="1" applyFill="1" applyBorder="1" applyAlignment="1">
      <alignment horizontal="left"/>
    </xf>
    <xf numFmtId="14" fontId="8" fillId="5" borderId="8" xfId="3" applyNumberFormat="1" applyFont="1" applyFill="1" applyBorder="1" applyAlignment="1">
      <alignment horizontal="left"/>
    </xf>
    <xf numFmtId="0" fontId="3" fillId="5" borderId="11" xfId="2" applyNumberForma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</cellXfs>
  <cellStyles count="5">
    <cellStyle name="Bad" xfId="3" builtinId="27"/>
    <cellStyle name="Currency" xfId="1" builtinId="4"/>
    <cellStyle name="Hyperlink" xfId="2" builtinId="8"/>
    <cellStyle name="Normal" xfId="0" builtinId="0"/>
    <cellStyle name="Percent" xfId="4" builtinId="5"/>
  </cellStyles>
  <dxfs count="137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2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solid">
          <fgColor theme="4" tint="0.59999389629810485"/>
          <bgColor theme="0"/>
        </patternFill>
      </fill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5" formatCode="_ * #,##0.00_ ;_ * \-#,##0.00_ ;_ * &quot;-&quot;??_ ;_ @_ 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65" formatCode="_ * #,##0.00_ ;_ * \-#,##0.00_ ;_ * &quot;-&quot;??_ ;_ @_ 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 style="dashed">
          <color theme="0" tint="-0.499984740745262"/>
        </top>
        <bottom style="dashed">
          <color theme="0" tint="-0.499984740745262"/>
        </bottom>
      </border>
    </dxf>
    <dxf>
      <border diagonalUp="0" diagonalDown="0">
        <left style="dashed">
          <color rgb="FF808080"/>
        </left>
        <right style="dashed">
          <color rgb="FF808080"/>
        </right>
        <top style="dashed">
          <color rgb="FF808080"/>
        </top>
        <bottom style="dashed">
          <color rgb="FF808080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0" formatCode="General"/>
      <fill>
        <patternFill patternType="solid">
          <fgColor rgb="FF000000"/>
          <bgColor rgb="FFFFFFFF"/>
        </patternFill>
      </fill>
      <alignment horizontal="left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theme="0" tint="-0.499984740745262"/>
        </left>
        <right style="dashed">
          <color theme="0" tint="-0.499984740745262"/>
        </right>
        <top/>
        <bottom/>
      </border>
    </dxf>
  </dxfs>
  <tableStyles count="0" defaultTableStyle="TableStyleMedium9" defaultPivotStyle="PivotStyleLight16"/>
  <colors>
    <mruColors>
      <color rgb="FF00E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svg"/><Relationship Id="rId2" Type="http://schemas.openxmlformats.org/officeDocument/2006/relationships/image" Target="../media/image6.png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svg"/><Relationship Id="rId2" Type="http://schemas.openxmlformats.org/officeDocument/2006/relationships/image" Target="../media/image6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0</xdr:colOff>
      <xdr:row>47</xdr:row>
      <xdr:rowOff>946150</xdr:rowOff>
    </xdr:to>
    <xdr:pic>
      <xdr:nvPicPr>
        <xdr:cNvPr id="10" name="Picture 9" descr="Сomo Polir Um Carro">
          <a:extLst>
            <a:ext uri="{FF2B5EF4-FFF2-40B4-BE49-F238E27FC236}">
              <a16:creationId xmlns:a16="http://schemas.microsoft.com/office/drawing/2014/main" id="{51355A84-4C84-B79C-55AB-7EDF896B6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83050" cy="1023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230765</xdr:colOff>
      <xdr:row>4</xdr:row>
      <xdr:rowOff>157884</xdr:rowOff>
    </xdr:from>
    <xdr:ext cx="2852063" cy="146989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C3089FF-E95A-3C7F-386B-025F67FFDD7C}"/>
            </a:ext>
          </a:extLst>
        </xdr:cNvPr>
        <xdr:cNvSpPr txBox="1"/>
      </xdr:nvSpPr>
      <xdr:spPr>
        <a:xfrm>
          <a:off x="453015" y="9960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tx1">
                  <a:lumMod val="50000"/>
                  <a:lumOff val="50000"/>
                </a:schemeClr>
              </a:solidFill>
            </a:rPr>
            <a:t>FUNILARIA</a:t>
          </a:r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  <a:p>
          <a:r>
            <a:rPr lang="en-GB" sz="4400" b="1" baseline="0">
              <a:solidFill>
                <a:schemeClr val="tx1">
                  <a:lumMod val="50000"/>
                  <a:lumOff val="50000"/>
                </a:schemeClr>
              </a:solidFill>
            </a:rPr>
            <a:t>AUTO CAR</a:t>
          </a:r>
          <a:endParaRPr lang="en-GB" sz="44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oneCellAnchor>
  <xdr:twoCellAnchor>
    <xdr:from>
      <xdr:col>1</xdr:col>
      <xdr:colOff>292101</xdr:colOff>
      <xdr:row>13</xdr:row>
      <xdr:rowOff>146050</xdr:rowOff>
    </xdr:from>
    <xdr:to>
      <xdr:col>22</xdr:col>
      <xdr:colOff>254000</xdr:colOff>
      <xdr:row>45</xdr:row>
      <xdr:rowOff>95250</xdr:rowOff>
    </xdr:to>
    <xdr:sp macro="" textlink="">
      <xdr:nvSpPr>
        <xdr:cNvPr id="23" name="rect_shape_home" hidden="1">
          <a:extLst>
            <a:ext uri="{FF2B5EF4-FFF2-40B4-BE49-F238E27FC236}">
              <a16:creationId xmlns:a16="http://schemas.microsoft.com/office/drawing/2014/main" id="{ADAF495D-EBE6-BC41-89B1-04F34396E15B}"/>
            </a:ext>
          </a:extLst>
        </xdr:cNvPr>
        <xdr:cNvSpPr/>
      </xdr:nvSpPr>
      <xdr:spPr>
        <a:xfrm>
          <a:off x="920751" y="2743200"/>
          <a:ext cx="15081249" cy="6248400"/>
        </a:xfrm>
        <a:prstGeom prst="roundRect">
          <a:avLst>
            <a:gd name="adj" fmla="val 2519"/>
          </a:avLst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1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1371902</xdr:colOff>
      <xdr:row>47</xdr:row>
      <xdr:rowOff>340072</xdr:rowOff>
    </xdr:from>
    <xdr:ext cx="11004247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5306CE9-6A6C-FF4D-B838-7C7B16546EFC}"/>
            </a:ext>
          </a:extLst>
        </xdr:cNvPr>
        <xdr:cNvSpPr txBox="1"/>
      </xdr:nvSpPr>
      <xdr:spPr>
        <a:xfrm>
          <a:off x="2299002" y="9630122"/>
          <a:ext cx="1100424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Rua Harry Hadick, 13 - Vila Remo, São Paulo - SP -</a:t>
          </a:r>
          <a:r>
            <a:rPr lang="en-GB" sz="1400" b="0" i="0" u="none" strike="noStrike" baseline="0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400" b="0" i="0" u="none" strike="noStrike">
              <a:solidFill>
                <a:schemeClr val="bg1">
                  <a:lumMod val="85000"/>
                </a:schemeClr>
              </a:solidFill>
              <a:effectLst/>
              <a:latin typeface="+mn-lt"/>
              <a:ea typeface="+mn-ea"/>
              <a:cs typeface="+mn-cs"/>
            </a:rPr>
            <a:t>Brasil - +55 (11) 9 5788-4745 - CNPJ: 44.951.415/0001-16 - email: shielvis@hotmail.com</a:t>
          </a:r>
          <a:endParaRPr lang="en-GB" sz="6600" b="1" baseline="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twoCellAnchor>
    <xdr:from>
      <xdr:col>2</xdr:col>
      <xdr:colOff>469506</xdr:colOff>
      <xdr:row>17</xdr:row>
      <xdr:rowOff>190436</xdr:rowOff>
    </xdr:from>
    <xdr:to>
      <xdr:col>3</xdr:col>
      <xdr:colOff>59137</xdr:colOff>
      <xdr:row>20</xdr:row>
      <xdr:rowOff>137647</xdr:rowOff>
    </xdr:to>
    <xdr:sp macro="[0]!GetAllClientes" textlink="">
      <xdr:nvSpPr>
        <xdr:cNvPr id="13" name="btn_home_clientes" hidden="1">
          <a:extLst>
            <a:ext uri="{FF2B5EF4-FFF2-40B4-BE49-F238E27FC236}">
              <a16:creationId xmlns:a16="http://schemas.microsoft.com/office/drawing/2014/main" id="{3427CED0-6A4E-E09E-CEB7-C3D79C9B174E}"/>
            </a:ext>
          </a:extLst>
        </xdr:cNvPr>
        <xdr:cNvSpPr/>
      </xdr:nvSpPr>
      <xdr:spPr>
        <a:xfrm>
          <a:off x="1396606" y="3574986"/>
          <a:ext cx="2466181" cy="53776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tx1">
                  <a:lumMod val="85000"/>
                  <a:lumOff val="15000"/>
                </a:schemeClr>
              </a:solidFill>
            </a:rPr>
            <a:t>Nossos Clientes</a:t>
          </a:r>
        </a:p>
      </xdr:txBody>
    </xdr:sp>
    <xdr:clientData/>
  </xdr:twoCellAnchor>
  <xdr:twoCellAnchor>
    <xdr:from>
      <xdr:col>2</xdr:col>
      <xdr:colOff>486248</xdr:colOff>
      <xdr:row>33</xdr:row>
      <xdr:rowOff>180784</xdr:rowOff>
    </xdr:from>
    <xdr:to>
      <xdr:col>3</xdr:col>
      <xdr:colOff>75879</xdr:colOff>
      <xdr:row>36</xdr:row>
      <xdr:rowOff>145843</xdr:rowOff>
    </xdr:to>
    <xdr:sp macro="[0]!GetAllServicos" textlink="">
      <xdr:nvSpPr>
        <xdr:cNvPr id="14" name="btn_home_servicos" hidden="1">
          <a:extLst>
            <a:ext uri="{FF2B5EF4-FFF2-40B4-BE49-F238E27FC236}">
              <a16:creationId xmlns:a16="http://schemas.microsoft.com/office/drawing/2014/main" id="{C55B46BF-0D00-F74A-988C-06DAAFB93EB4}"/>
            </a:ext>
          </a:extLst>
        </xdr:cNvPr>
        <xdr:cNvSpPr/>
      </xdr:nvSpPr>
      <xdr:spPr>
        <a:xfrm>
          <a:off x="1413348" y="6714934"/>
          <a:ext cx="2466181" cy="55560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chemeClr val="tx1">
                  <a:lumMod val="85000"/>
                  <a:lumOff val="15000"/>
                </a:schemeClr>
              </a:solidFill>
            </a:rPr>
            <a:t>Serviços Oferecidos</a:t>
          </a:r>
        </a:p>
      </xdr:txBody>
    </xdr:sp>
    <xdr:clientData/>
  </xdr:twoCellAnchor>
  <xdr:twoCellAnchor>
    <xdr:from>
      <xdr:col>2</xdr:col>
      <xdr:colOff>468353</xdr:colOff>
      <xdr:row>24</xdr:row>
      <xdr:rowOff>42930</xdr:rowOff>
    </xdr:from>
    <xdr:to>
      <xdr:col>3</xdr:col>
      <xdr:colOff>57984</xdr:colOff>
      <xdr:row>27</xdr:row>
      <xdr:rowOff>8606</xdr:rowOff>
    </xdr:to>
    <xdr:sp macro="" textlink="">
      <xdr:nvSpPr>
        <xdr:cNvPr id="15" name="btn_home_materiais" hidden="1">
          <a:extLst>
            <a:ext uri="{FF2B5EF4-FFF2-40B4-BE49-F238E27FC236}">
              <a16:creationId xmlns:a16="http://schemas.microsoft.com/office/drawing/2014/main" id="{ED61FCE7-7A78-CC4F-93EC-AE18CBDA14F8}"/>
            </a:ext>
          </a:extLst>
        </xdr:cNvPr>
        <xdr:cNvSpPr/>
      </xdr:nvSpPr>
      <xdr:spPr>
        <a:xfrm>
          <a:off x="1395453" y="4805430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Materiais que Trabalhamos</a:t>
          </a:r>
        </a:p>
      </xdr:txBody>
    </xdr:sp>
    <xdr:clientData/>
  </xdr:twoCellAnchor>
  <xdr:twoCellAnchor>
    <xdr:from>
      <xdr:col>2</xdr:col>
      <xdr:colOff>462003</xdr:colOff>
      <xdr:row>21</xdr:row>
      <xdr:rowOff>24907</xdr:rowOff>
    </xdr:from>
    <xdr:to>
      <xdr:col>3</xdr:col>
      <xdr:colOff>51634</xdr:colOff>
      <xdr:row>23</xdr:row>
      <xdr:rowOff>169393</xdr:rowOff>
    </xdr:to>
    <xdr:sp macro="" textlink="">
      <xdr:nvSpPr>
        <xdr:cNvPr id="17" name="btn_home_fornecedores" hidden="1">
          <a:extLst>
            <a:ext uri="{FF2B5EF4-FFF2-40B4-BE49-F238E27FC236}">
              <a16:creationId xmlns:a16="http://schemas.microsoft.com/office/drawing/2014/main" id="{65C0E7F9-D1D6-004A-AACA-EDD9C409048A}"/>
            </a:ext>
          </a:extLst>
        </xdr:cNvPr>
        <xdr:cNvSpPr/>
      </xdr:nvSpPr>
      <xdr:spPr>
        <a:xfrm>
          <a:off x="1389103" y="4196857"/>
          <a:ext cx="2466181" cy="53818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Nossos Fornecedores</a:t>
          </a:r>
        </a:p>
      </xdr:txBody>
    </xdr:sp>
    <xdr:clientData/>
  </xdr:twoCellAnchor>
  <xdr:twoCellAnchor>
    <xdr:from>
      <xdr:col>2</xdr:col>
      <xdr:colOff>497794</xdr:colOff>
      <xdr:row>37</xdr:row>
      <xdr:rowOff>11061</xdr:rowOff>
    </xdr:from>
    <xdr:to>
      <xdr:col>3</xdr:col>
      <xdr:colOff>87425</xdr:colOff>
      <xdr:row>39</xdr:row>
      <xdr:rowOff>167245</xdr:rowOff>
    </xdr:to>
    <xdr:sp macro="" textlink="">
      <xdr:nvSpPr>
        <xdr:cNvPr id="18" name="btn_home_padronizacao_servicos" hidden="1">
          <a:extLst>
            <a:ext uri="{FF2B5EF4-FFF2-40B4-BE49-F238E27FC236}">
              <a16:creationId xmlns:a16="http://schemas.microsoft.com/office/drawing/2014/main" id="{FB9FCF39-1FBC-C646-8A6C-7F103E788097}"/>
            </a:ext>
          </a:extLst>
        </xdr:cNvPr>
        <xdr:cNvSpPr/>
      </xdr:nvSpPr>
      <xdr:spPr>
        <a:xfrm>
          <a:off x="1424894" y="7332611"/>
          <a:ext cx="2466181" cy="54988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Padronizaçao de</a:t>
          </a:r>
          <a:r>
            <a:rPr lang="en-GB" sz="1400" b="1" baseline="0">
              <a:solidFill>
                <a:srgbClr val="7030A0"/>
              </a:solidFill>
            </a:rPr>
            <a:t> Serviços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twoCellAnchor>
    <xdr:from>
      <xdr:col>2</xdr:col>
      <xdr:colOff>498948</xdr:colOff>
      <xdr:row>40</xdr:row>
      <xdr:rowOff>33864</xdr:rowOff>
    </xdr:from>
    <xdr:to>
      <xdr:col>3</xdr:col>
      <xdr:colOff>88579</xdr:colOff>
      <xdr:row>42</xdr:row>
      <xdr:rowOff>194490</xdr:rowOff>
    </xdr:to>
    <xdr:sp macro="" textlink="">
      <xdr:nvSpPr>
        <xdr:cNvPr id="19" name="btn_home_movimentacao_estoque" hidden="1">
          <a:extLst>
            <a:ext uri="{FF2B5EF4-FFF2-40B4-BE49-F238E27FC236}">
              <a16:creationId xmlns:a16="http://schemas.microsoft.com/office/drawing/2014/main" id="{353A8302-FA80-854E-B9D3-9FEED3A8A669}"/>
            </a:ext>
          </a:extLst>
        </xdr:cNvPr>
        <xdr:cNvSpPr/>
      </xdr:nvSpPr>
      <xdr:spPr>
        <a:xfrm>
          <a:off x="1426048" y="7945964"/>
          <a:ext cx="2466181" cy="5543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Movimentação de Estoque</a:t>
          </a:r>
        </a:p>
      </xdr:txBody>
    </xdr:sp>
    <xdr:clientData/>
  </xdr:twoCellAnchor>
  <xdr:twoCellAnchor>
    <xdr:from>
      <xdr:col>2</xdr:col>
      <xdr:colOff>472392</xdr:colOff>
      <xdr:row>30</xdr:row>
      <xdr:rowOff>136735</xdr:rowOff>
    </xdr:from>
    <xdr:to>
      <xdr:col>3</xdr:col>
      <xdr:colOff>62023</xdr:colOff>
      <xdr:row>33</xdr:row>
      <xdr:rowOff>102411</xdr:rowOff>
    </xdr:to>
    <xdr:sp macro="[0]!GetAllFuncionarios" textlink="">
      <xdr:nvSpPr>
        <xdr:cNvPr id="20" name="btn_home_usuarios" hidden="1">
          <a:extLst>
            <a:ext uri="{FF2B5EF4-FFF2-40B4-BE49-F238E27FC236}">
              <a16:creationId xmlns:a16="http://schemas.microsoft.com/office/drawing/2014/main" id="{66B69262-6647-984E-8BB0-58285AD21E6F}"/>
            </a:ext>
          </a:extLst>
        </xdr:cNvPr>
        <xdr:cNvSpPr/>
      </xdr:nvSpPr>
      <xdr:spPr>
        <a:xfrm>
          <a:off x="1399492" y="6080335"/>
          <a:ext cx="2466181" cy="55622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0070C0"/>
              </a:solidFill>
            </a:rPr>
            <a:t>Usuários do Sistema</a:t>
          </a:r>
        </a:p>
      </xdr:txBody>
    </xdr:sp>
    <xdr:clientData/>
  </xdr:twoCellAnchor>
  <xdr:oneCellAnchor>
    <xdr:from>
      <xdr:col>2</xdr:col>
      <xdr:colOff>368877</xdr:colOff>
      <xdr:row>14</xdr:row>
      <xdr:rowOff>22152</xdr:rowOff>
    </xdr:from>
    <xdr:ext cx="3441455" cy="530658"/>
    <xdr:sp macro="" textlink="">
      <xdr:nvSpPr>
        <xdr:cNvPr id="22" name="txtbox_cadastros_consultas" hidden="1">
          <a:extLst>
            <a:ext uri="{FF2B5EF4-FFF2-40B4-BE49-F238E27FC236}">
              <a16:creationId xmlns:a16="http://schemas.microsoft.com/office/drawing/2014/main" id="{ED739296-0F1A-F64D-9904-E74A229DA439}"/>
            </a:ext>
          </a:extLst>
        </xdr:cNvPr>
        <xdr:cNvSpPr txBox="1"/>
      </xdr:nvSpPr>
      <xdr:spPr>
        <a:xfrm>
          <a:off x="889577" y="2701852"/>
          <a:ext cx="3441455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Cadastros e Consultas</a:t>
          </a:r>
        </a:p>
      </xdr:txBody>
    </xdr:sp>
    <xdr:clientData/>
  </xdr:oneCellAnchor>
  <xdr:oneCellAnchor>
    <xdr:from>
      <xdr:col>10</xdr:col>
      <xdr:colOff>343477</xdr:colOff>
      <xdr:row>14</xdr:row>
      <xdr:rowOff>22152</xdr:rowOff>
    </xdr:from>
    <xdr:ext cx="3574761" cy="530658"/>
    <xdr:sp macro="" textlink="">
      <xdr:nvSpPr>
        <xdr:cNvPr id="24" name="txtbox_servicos_orcamentos" hidden="1">
          <a:extLst>
            <a:ext uri="{FF2B5EF4-FFF2-40B4-BE49-F238E27FC236}">
              <a16:creationId xmlns:a16="http://schemas.microsoft.com/office/drawing/2014/main" id="{097A4E85-FD20-8548-8D9C-530414307ABB}"/>
            </a:ext>
          </a:extLst>
        </xdr:cNvPr>
        <xdr:cNvSpPr txBox="1"/>
      </xdr:nvSpPr>
      <xdr:spPr>
        <a:xfrm>
          <a:off x="8141277" y="2701852"/>
          <a:ext cx="357476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800" b="1" baseline="0">
              <a:solidFill>
                <a:schemeClr val="bg1"/>
              </a:solidFill>
            </a:rPr>
            <a:t>Serviços e Orçamentos</a:t>
          </a:r>
        </a:p>
      </xdr:txBody>
    </xdr:sp>
    <xdr:clientData/>
  </xdr:oneCellAnchor>
  <xdr:twoCellAnchor>
    <xdr:from>
      <xdr:col>10</xdr:col>
      <xdr:colOff>390614</xdr:colOff>
      <xdr:row>17</xdr:row>
      <xdr:rowOff>171451</xdr:rowOff>
    </xdr:from>
    <xdr:to>
      <xdr:col>14</xdr:col>
      <xdr:colOff>346152</xdr:colOff>
      <xdr:row>20</xdr:row>
      <xdr:rowOff>130784</xdr:rowOff>
    </xdr:to>
    <xdr:sp macro="" textlink="">
      <xdr:nvSpPr>
        <xdr:cNvPr id="26" name="btn_home_orcamentos" hidden="1">
          <a:extLst>
            <a:ext uri="{FF2B5EF4-FFF2-40B4-BE49-F238E27FC236}">
              <a16:creationId xmlns:a16="http://schemas.microsoft.com/office/drawing/2014/main" id="{47F9B4EB-EB5A-5748-B92E-F71938B4AB66}"/>
            </a:ext>
          </a:extLst>
        </xdr:cNvPr>
        <xdr:cNvSpPr/>
      </xdr:nvSpPr>
      <xdr:spPr>
        <a:xfrm>
          <a:off x="8187003" y="3388784"/>
          <a:ext cx="2467316" cy="5096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Orçamento sem</a:t>
          </a:r>
          <a:r>
            <a:rPr lang="en-GB" sz="1400" b="1" baseline="0">
              <a:solidFill>
                <a:srgbClr val="7030A0"/>
              </a:solidFill>
            </a:rPr>
            <a:t> compromisso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twoCellAnchor>
    <xdr:from>
      <xdr:col>10</xdr:col>
      <xdr:colOff>390613</xdr:colOff>
      <xdr:row>21</xdr:row>
      <xdr:rowOff>38470</xdr:rowOff>
    </xdr:from>
    <xdr:to>
      <xdr:col>14</xdr:col>
      <xdr:colOff>346151</xdr:colOff>
      <xdr:row>24</xdr:row>
      <xdr:rowOff>3528</xdr:rowOff>
    </xdr:to>
    <xdr:sp macro="" textlink="">
      <xdr:nvSpPr>
        <xdr:cNvPr id="27" name="btn_home_ordem_de_servicos" hidden="1">
          <a:extLst>
            <a:ext uri="{FF2B5EF4-FFF2-40B4-BE49-F238E27FC236}">
              <a16:creationId xmlns:a16="http://schemas.microsoft.com/office/drawing/2014/main" id="{69CEA932-30B8-4048-8EF6-AD99F88423F3}"/>
            </a:ext>
          </a:extLst>
        </xdr:cNvPr>
        <xdr:cNvSpPr/>
      </xdr:nvSpPr>
      <xdr:spPr>
        <a:xfrm>
          <a:off x="8187002" y="3989581"/>
          <a:ext cx="2467316" cy="515391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7030A0"/>
              </a:solidFill>
            </a:rPr>
            <a:t>Ordem</a:t>
          </a:r>
          <a:r>
            <a:rPr lang="en-GB" sz="1400" b="1" baseline="0">
              <a:solidFill>
                <a:srgbClr val="7030A0"/>
              </a:solidFill>
            </a:rPr>
            <a:t> de Serviço</a:t>
          </a:r>
          <a:endParaRPr lang="en-GB" sz="1400" b="1">
            <a:solidFill>
              <a:srgbClr val="7030A0"/>
            </a:solidFill>
          </a:endParaRPr>
        </a:p>
      </xdr:txBody>
    </xdr:sp>
    <xdr:clientData/>
  </xdr:twoCellAnchor>
  <xdr:oneCellAnchor>
    <xdr:from>
      <xdr:col>1</xdr:col>
      <xdr:colOff>211715</xdr:colOff>
      <xdr:row>4</xdr:row>
      <xdr:rowOff>145184</xdr:rowOff>
    </xdr:from>
    <xdr:ext cx="2852063" cy="146989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E882B9-833A-7C40-AD97-233173CEDF5E}"/>
            </a:ext>
          </a:extLst>
        </xdr:cNvPr>
        <xdr:cNvSpPr txBox="1"/>
      </xdr:nvSpPr>
      <xdr:spPr>
        <a:xfrm>
          <a:off x="840365" y="970684"/>
          <a:ext cx="2852063" cy="14698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400" b="1">
              <a:solidFill>
                <a:schemeClr val="bg1"/>
              </a:solidFill>
            </a:rPr>
            <a:t>FUNILARIA</a:t>
          </a:r>
          <a:r>
            <a:rPr lang="en-GB" sz="4400" b="1" baseline="0">
              <a:solidFill>
                <a:schemeClr val="bg1"/>
              </a:solidFill>
            </a:rPr>
            <a:t> </a:t>
          </a:r>
        </a:p>
        <a:p>
          <a:r>
            <a:rPr lang="en-GB" sz="4400" b="1" baseline="0">
              <a:solidFill>
                <a:schemeClr val="bg1"/>
              </a:solidFill>
            </a:rPr>
            <a:t>AUTO CAR</a:t>
          </a:r>
          <a:endParaRPr lang="en-GB" sz="4400" b="1">
            <a:solidFill>
              <a:schemeClr val="bg1"/>
            </a:solidFill>
          </a:endParaRPr>
        </a:p>
      </xdr:txBody>
    </xdr:sp>
    <xdr:clientData/>
  </xdr:oneCellAnchor>
  <xdr:twoCellAnchor>
    <xdr:from>
      <xdr:col>20</xdr:col>
      <xdr:colOff>376503</xdr:colOff>
      <xdr:row>0</xdr:row>
      <xdr:rowOff>143934</xdr:rowOff>
    </xdr:from>
    <xdr:to>
      <xdr:col>22</xdr:col>
      <xdr:colOff>262203</xdr:colOff>
      <xdr:row>2</xdr:row>
      <xdr:rowOff>23071</xdr:rowOff>
    </xdr:to>
    <xdr:grpSp>
      <xdr:nvGrpSpPr>
        <xdr:cNvPr id="7" name="btn_home_sair" hidden="1">
          <a:extLst>
            <a:ext uri="{FF2B5EF4-FFF2-40B4-BE49-F238E27FC236}">
              <a16:creationId xmlns:a16="http://schemas.microsoft.com/office/drawing/2014/main" id="{2F73E788-4D17-C6FB-2001-FF6DF73B5842}"/>
            </a:ext>
          </a:extLst>
        </xdr:cNvPr>
        <xdr:cNvGrpSpPr/>
      </xdr:nvGrpSpPr>
      <xdr:grpSpPr>
        <a:xfrm>
          <a:off x="14867203" y="143934"/>
          <a:ext cx="1143000" cy="272837"/>
          <a:chOff x="13070153" y="1064684"/>
          <a:chExt cx="1143000" cy="272837"/>
        </a:xfrm>
      </xdr:grpSpPr>
      <xdr:sp macro="[0]!SairDoSistema" textlink="">
        <xdr:nvSpPr>
          <xdr:cNvPr id="6" name="Rounded Rectangle 12" hidden="1">
            <a:extLst>
              <a:ext uri="{FF2B5EF4-FFF2-40B4-BE49-F238E27FC236}">
                <a16:creationId xmlns:a16="http://schemas.microsoft.com/office/drawing/2014/main" id="{102DA0F8-0475-4718-87A7-24449F3BA388}"/>
              </a:ext>
            </a:extLst>
          </xdr:cNvPr>
          <xdr:cNvSpPr/>
        </xdr:nvSpPr>
        <xdr:spPr>
          <a:xfrm>
            <a:off x="13070153" y="1064684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rgbClr val="C00000"/>
                </a:solidFill>
              </a:rPr>
              <a:t> Sair</a:t>
            </a:r>
          </a:p>
        </xdr:txBody>
      </xdr:sp>
      <xdr:pic>
        <xdr:nvPicPr>
          <xdr:cNvPr id="5" name="Graphic 4" descr="Sair" hidden="1">
            <a:extLst>
              <a:ext uri="{FF2B5EF4-FFF2-40B4-BE49-F238E27FC236}">
                <a16:creationId xmlns:a16="http://schemas.microsoft.com/office/drawing/2014/main" id="{5C749020-AC02-585E-805C-70A4F52A9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163550" y="1085850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107950</xdr:colOff>
      <xdr:row>0</xdr:row>
      <xdr:rowOff>158385</xdr:rowOff>
    </xdr:from>
    <xdr:to>
      <xdr:col>15</xdr:col>
      <xdr:colOff>14144</xdr:colOff>
      <xdr:row>3</xdr:row>
      <xdr:rowOff>31750</xdr:rowOff>
    </xdr:to>
    <xdr:sp macro="[0]!OpenFormServico" textlink="">
      <xdr:nvSpPr>
        <xdr:cNvPr id="2" name="Rounded Rectangle 12">
          <a:extLst>
            <a:ext uri="{FF2B5EF4-FFF2-40B4-BE49-F238E27FC236}">
              <a16:creationId xmlns:a16="http://schemas.microsoft.com/office/drawing/2014/main" id="{269274E4-21C0-4FA2-B779-FD799A43FBB9}"/>
            </a:ext>
          </a:extLst>
        </xdr:cNvPr>
        <xdr:cNvSpPr/>
      </xdr:nvSpPr>
      <xdr:spPr>
        <a:xfrm>
          <a:off x="13620750" y="158385"/>
          <a:ext cx="2211244" cy="46391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Cadastrar</a:t>
          </a:r>
          <a:r>
            <a:rPr lang="en-GB" sz="1400" b="1">
              <a:solidFill>
                <a:schemeClr val="bg1"/>
              </a:solidFill>
            </a:rPr>
            <a:t> </a:t>
          </a:r>
          <a:r>
            <a:rPr lang="en-GB" sz="1400" b="1">
              <a:solidFill>
                <a:sysClr val="windowText" lastClr="000000"/>
              </a:solidFill>
            </a:rPr>
            <a:t>Funcionário</a:t>
          </a:r>
        </a:p>
      </xdr:txBody>
    </xdr:sp>
    <xdr:clientData/>
  </xdr:twoCellAnchor>
  <xdr:twoCellAnchor>
    <xdr:from>
      <xdr:col>1</xdr:col>
      <xdr:colOff>19050</xdr:colOff>
      <xdr:row>1</xdr:row>
      <xdr:rowOff>63500</xdr:rowOff>
    </xdr:from>
    <xdr:to>
      <xdr:col>2</xdr:col>
      <xdr:colOff>379412</xdr:colOff>
      <xdr:row>3</xdr:row>
      <xdr:rowOff>57150</xdr:rowOff>
    </xdr:to>
    <xdr:pic>
      <xdr:nvPicPr>
        <xdr:cNvPr id="5" name="Graphic 4" descr="Home">
          <a:extLst>
            <a:ext uri="{FF2B5EF4-FFF2-40B4-BE49-F238E27FC236}">
              <a16:creationId xmlns:a16="http://schemas.microsoft.com/office/drawing/2014/main" id="{92E664FF-4424-4C37-B906-5FBA72A1E6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241300" y="260350"/>
          <a:ext cx="893762" cy="387350"/>
        </a:xfrm>
        <a:prstGeom prst="rect">
          <a:avLst/>
        </a:prstGeom>
      </xdr:spPr>
    </xdr:pic>
    <xdr:clientData/>
  </xdr:twoCellAnchor>
  <xdr:twoCellAnchor>
    <xdr:from>
      <xdr:col>1</xdr:col>
      <xdr:colOff>19050</xdr:colOff>
      <xdr:row>1</xdr:row>
      <xdr:rowOff>120650</xdr:rowOff>
    </xdr:from>
    <xdr:to>
      <xdr:col>2</xdr:col>
      <xdr:colOff>393700</xdr:colOff>
      <xdr:row>3</xdr:row>
      <xdr:rowOff>50800</xdr:rowOff>
    </xdr:to>
    <xdr:sp macro="[0]!GoHomeFromFuncionarios" textlink="">
      <xdr:nvSpPr>
        <xdr:cNvPr id="4" name="TextBox 3">
          <a:extLst>
            <a:ext uri="{FF2B5EF4-FFF2-40B4-BE49-F238E27FC236}">
              <a16:creationId xmlns:a16="http://schemas.microsoft.com/office/drawing/2014/main" id="{584E8208-AF42-4FBA-9051-915C7C3F4DC4}"/>
            </a:ext>
          </a:extLst>
        </xdr:cNvPr>
        <xdr:cNvSpPr txBox="1"/>
      </xdr:nvSpPr>
      <xdr:spPr>
        <a:xfrm>
          <a:off x="241300" y="317500"/>
          <a:ext cx="9080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1155700</xdr:colOff>
      <xdr:row>1</xdr:row>
      <xdr:rowOff>89113</xdr:rowOff>
    </xdr:from>
    <xdr:to>
      <xdr:col>14</xdr:col>
      <xdr:colOff>6350</xdr:colOff>
      <xdr:row>2</xdr:row>
      <xdr:rowOff>165100</xdr:rowOff>
    </xdr:to>
    <xdr:sp macro="[0]!OpenFormCliente" textlink="">
      <xdr:nvSpPr>
        <xdr:cNvPr id="4" name="Rounded Rectangle 12">
          <a:extLst>
            <a:ext uri="{FF2B5EF4-FFF2-40B4-BE49-F238E27FC236}">
              <a16:creationId xmlns:a16="http://schemas.microsoft.com/office/drawing/2014/main" id="{B65F29DE-CF89-46D1-BCD5-4A638E565571}"/>
            </a:ext>
          </a:extLst>
        </xdr:cNvPr>
        <xdr:cNvSpPr/>
      </xdr:nvSpPr>
      <xdr:spPr>
        <a:xfrm>
          <a:off x="15424150" y="285963"/>
          <a:ext cx="114300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+ Novo</a:t>
          </a:r>
        </a:p>
      </xdr:txBody>
    </xdr:sp>
    <xdr:clientData/>
  </xdr:twoCellAnchor>
  <xdr:twoCellAnchor>
    <xdr:from>
      <xdr:col>11</xdr:col>
      <xdr:colOff>508000</xdr:colOff>
      <xdr:row>1</xdr:row>
      <xdr:rowOff>89113</xdr:rowOff>
    </xdr:from>
    <xdr:to>
      <xdr:col>12</xdr:col>
      <xdr:colOff>781050</xdr:colOff>
      <xdr:row>2</xdr:row>
      <xdr:rowOff>165100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B054DE3-309D-17A3-1EE5-A81DAD4B15BA}"/>
            </a:ext>
          </a:extLst>
        </xdr:cNvPr>
        <xdr:cNvGrpSpPr/>
      </xdr:nvGrpSpPr>
      <xdr:grpSpPr>
        <a:xfrm>
          <a:off x="13989050" y="285963"/>
          <a:ext cx="1143000" cy="272837"/>
          <a:chOff x="13989050" y="285963"/>
          <a:chExt cx="1143000" cy="272837"/>
        </a:xfrm>
      </xdr:grpSpPr>
      <xdr:sp macro="[0]!OpenFormSearchClientePorCpf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496B0B12-D7A1-40D9-8CC6-1116073A1199}"/>
              </a:ext>
            </a:extLst>
          </xdr:cNvPr>
          <xdr:cNvSpPr/>
        </xdr:nvSpPr>
        <xdr:spPr>
          <a:xfrm>
            <a:off x="13989050" y="285963"/>
            <a:ext cx="1143000" cy="272837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="1">
                <a:solidFill>
                  <a:sysClr val="windowText" lastClr="000000"/>
                </a:solidFill>
              </a:rPr>
              <a:t>     Pesquisar</a:t>
            </a:r>
          </a:p>
        </xdr:txBody>
      </xdr:sp>
      <xdr:sp macro="[0]!OpenFormSearchClientePorCpf" textlink="">
        <xdr:nvSpPr>
          <xdr:cNvPr id="22" name="Graphic 6" descr="Pesquisar cliente&#10;">
            <a:extLst>
              <a:ext uri="{FF2B5EF4-FFF2-40B4-BE49-F238E27FC236}">
                <a16:creationId xmlns:a16="http://schemas.microsoft.com/office/drawing/2014/main" id="{2D16A8E1-9B4B-D824-E2EB-296F7EE78356}"/>
              </a:ext>
            </a:extLst>
          </xdr:cNvPr>
          <xdr:cNvSpPr/>
        </xdr:nvSpPr>
        <xdr:spPr>
          <a:xfrm>
            <a:off x="14060328" y="337978"/>
            <a:ext cx="187970" cy="188118"/>
          </a:xfrm>
          <a:custGeom>
            <a:avLst/>
            <a:gdLst>
              <a:gd name="connsiteX0" fmla="*/ 183118 w 187970"/>
              <a:gd name="connsiteY0" fmla="*/ 159544 h 188118"/>
              <a:gd name="connsiteX1" fmla="*/ 153353 w 187970"/>
              <a:gd name="connsiteY1" fmla="*/ 129778 h 188118"/>
              <a:gd name="connsiteX2" fmla="*/ 138589 w 187970"/>
              <a:gd name="connsiteY2" fmla="*/ 125254 h 188118"/>
              <a:gd name="connsiteX3" fmla="*/ 128111 w 187970"/>
              <a:gd name="connsiteY3" fmla="*/ 114776 h 188118"/>
              <a:gd name="connsiteX4" fmla="*/ 142875 w 187970"/>
              <a:gd name="connsiteY4" fmla="*/ 71437 h 188118"/>
              <a:gd name="connsiteX5" fmla="*/ 71437 w 187970"/>
              <a:gd name="connsiteY5" fmla="*/ 0 h 188118"/>
              <a:gd name="connsiteX6" fmla="*/ 0 w 187970"/>
              <a:gd name="connsiteY6" fmla="*/ 71437 h 188118"/>
              <a:gd name="connsiteX7" fmla="*/ 71437 w 187970"/>
              <a:gd name="connsiteY7" fmla="*/ 142875 h 188118"/>
              <a:gd name="connsiteX8" fmla="*/ 114776 w 187970"/>
              <a:gd name="connsiteY8" fmla="*/ 128111 h 188118"/>
              <a:gd name="connsiteX9" fmla="*/ 125254 w 187970"/>
              <a:gd name="connsiteY9" fmla="*/ 138589 h 188118"/>
              <a:gd name="connsiteX10" fmla="*/ 129778 w 187970"/>
              <a:gd name="connsiteY10" fmla="*/ 153353 h 188118"/>
              <a:gd name="connsiteX11" fmla="*/ 159544 w 187970"/>
              <a:gd name="connsiteY11" fmla="*/ 183118 h 188118"/>
              <a:gd name="connsiteX12" fmla="*/ 171450 w 187970"/>
              <a:gd name="connsiteY12" fmla="*/ 188119 h 188118"/>
              <a:gd name="connsiteX13" fmla="*/ 183356 w 187970"/>
              <a:gd name="connsiteY13" fmla="*/ 183118 h 188118"/>
              <a:gd name="connsiteX14" fmla="*/ 183118 w 187970"/>
              <a:gd name="connsiteY14" fmla="*/ 159544 h 188118"/>
              <a:gd name="connsiteX15" fmla="*/ 71199 w 187970"/>
              <a:gd name="connsiteY15" fmla="*/ 128349 h 188118"/>
              <a:gd name="connsiteX16" fmla="*/ 14049 w 187970"/>
              <a:gd name="connsiteY16" fmla="*/ 71199 h 188118"/>
              <a:gd name="connsiteX17" fmla="*/ 71199 w 187970"/>
              <a:gd name="connsiteY17" fmla="*/ 14049 h 188118"/>
              <a:gd name="connsiteX18" fmla="*/ 128349 w 187970"/>
              <a:gd name="connsiteY18" fmla="*/ 71199 h 188118"/>
              <a:gd name="connsiteX19" fmla="*/ 71199 w 187970"/>
              <a:gd name="connsiteY19" fmla="*/ 128349 h 18811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187970" h="188118">
                <a:moveTo>
                  <a:pt x="183118" y="159544"/>
                </a:moveTo>
                <a:lnTo>
                  <a:pt x="153353" y="129778"/>
                </a:lnTo>
                <a:cubicBezTo>
                  <a:pt x="149304" y="125730"/>
                  <a:pt x="143828" y="124301"/>
                  <a:pt x="138589" y="125254"/>
                </a:cubicBezTo>
                <a:lnTo>
                  <a:pt x="128111" y="114776"/>
                </a:lnTo>
                <a:cubicBezTo>
                  <a:pt x="137398" y="102870"/>
                  <a:pt x="142875" y="87630"/>
                  <a:pt x="142875" y="71437"/>
                </a:cubicBezTo>
                <a:cubicBezTo>
                  <a:pt x="142875" y="32147"/>
                  <a:pt x="110728" y="0"/>
                  <a:pt x="71437" y="0"/>
                </a:cubicBezTo>
                <a:cubicBezTo>
                  <a:pt x="32147" y="0"/>
                  <a:pt x="0" y="32147"/>
                  <a:pt x="0" y="71437"/>
                </a:cubicBezTo>
                <a:cubicBezTo>
                  <a:pt x="0" y="110728"/>
                  <a:pt x="32147" y="142875"/>
                  <a:pt x="71437" y="142875"/>
                </a:cubicBezTo>
                <a:cubicBezTo>
                  <a:pt x="87630" y="142875"/>
                  <a:pt x="102632" y="137398"/>
                  <a:pt x="114776" y="128111"/>
                </a:cubicBezTo>
                <a:lnTo>
                  <a:pt x="125254" y="138589"/>
                </a:lnTo>
                <a:cubicBezTo>
                  <a:pt x="124301" y="143828"/>
                  <a:pt x="125730" y="149304"/>
                  <a:pt x="129778" y="153353"/>
                </a:cubicBezTo>
                <a:lnTo>
                  <a:pt x="159544" y="183118"/>
                </a:lnTo>
                <a:cubicBezTo>
                  <a:pt x="162878" y="186452"/>
                  <a:pt x="167164" y="188119"/>
                  <a:pt x="171450" y="188119"/>
                </a:cubicBezTo>
                <a:cubicBezTo>
                  <a:pt x="175736" y="188119"/>
                  <a:pt x="180022" y="186452"/>
                  <a:pt x="183356" y="183118"/>
                </a:cubicBezTo>
                <a:cubicBezTo>
                  <a:pt x="189547" y="176451"/>
                  <a:pt x="189547" y="165973"/>
                  <a:pt x="183118" y="159544"/>
                </a:cubicBezTo>
                <a:close/>
                <a:moveTo>
                  <a:pt x="71199" y="128349"/>
                </a:moveTo>
                <a:cubicBezTo>
                  <a:pt x="39767" y="128349"/>
                  <a:pt x="14049" y="102632"/>
                  <a:pt x="14049" y="71199"/>
                </a:cubicBezTo>
                <a:cubicBezTo>
                  <a:pt x="14049" y="39767"/>
                  <a:pt x="39767" y="14049"/>
                  <a:pt x="71199" y="14049"/>
                </a:cubicBezTo>
                <a:cubicBezTo>
                  <a:pt x="102632" y="14049"/>
                  <a:pt x="128349" y="39767"/>
                  <a:pt x="128349" y="71199"/>
                </a:cubicBezTo>
                <a:cubicBezTo>
                  <a:pt x="128349" y="102632"/>
                  <a:pt x="102632" y="128349"/>
                  <a:pt x="71199" y="128349"/>
                </a:cubicBezTo>
                <a:close/>
              </a:path>
            </a:pathLst>
          </a:custGeom>
          <a:solidFill>
            <a:schemeClr val="tx1"/>
          </a:solidFill>
          <a:ln w="2381" cap="flat">
            <a:noFill/>
            <a:prstDash val="solid"/>
            <a:miter/>
          </a:ln>
        </xdr:spPr>
        <xdr:txBody>
          <a:bodyPr rtlCol="0" anchor="ctr"/>
          <a:lstStyle/>
          <a:p>
            <a:endParaRPr lang="en-US"/>
          </a:p>
        </xdr:txBody>
      </xdr:sp>
    </xdr:grpSp>
    <xdr:clientData/>
  </xdr:twoCellAnchor>
  <xdr:twoCellAnchor>
    <xdr:from>
      <xdr:col>1</xdr:col>
      <xdr:colOff>0</xdr:colOff>
      <xdr:row>1</xdr:row>
      <xdr:rowOff>50800</xdr:rowOff>
    </xdr:from>
    <xdr:to>
      <xdr:col>2</xdr:col>
      <xdr:colOff>296862</xdr:colOff>
      <xdr:row>3</xdr:row>
      <xdr:rowOff>44450</xdr:rowOff>
    </xdr:to>
    <xdr:pic>
      <xdr:nvPicPr>
        <xdr:cNvPr id="10" name="Graphic 9" descr="Home">
          <a:extLst>
            <a:ext uri="{FF2B5EF4-FFF2-40B4-BE49-F238E27FC236}">
              <a16:creationId xmlns:a16="http://schemas.microsoft.com/office/drawing/2014/main" id="{A6DE1BEB-239B-BB36-4009-54B7733E1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304800" y="247650"/>
          <a:ext cx="893762" cy="387350"/>
        </a:xfrm>
        <a:prstGeom prst="rect">
          <a:avLst/>
        </a:prstGeom>
      </xdr:spPr>
    </xdr:pic>
    <xdr:clientData/>
  </xdr:twoCellAnchor>
  <xdr:twoCellAnchor>
    <xdr:from>
      <xdr:col>0</xdr:col>
      <xdr:colOff>298450</xdr:colOff>
      <xdr:row>1</xdr:row>
      <xdr:rowOff>101600</xdr:rowOff>
    </xdr:from>
    <xdr:to>
      <xdr:col>2</xdr:col>
      <xdr:colOff>304800</xdr:colOff>
      <xdr:row>3</xdr:row>
      <xdr:rowOff>31750</xdr:rowOff>
    </xdr:to>
    <xdr:sp macro="[0]!GoHomeFromClientes" textlink="">
      <xdr:nvSpPr>
        <xdr:cNvPr id="16" name="TextBox 15">
          <a:extLst>
            <a:ext uri="{FF2B5EF4-FFF2-40B4-BE49-F238E27FC236}">
              <a16:creationId xmlns:a16="http://schemas.microsoft.com/office/drawing/2014/main" id="{298DAE6F-9B52-7D32-4F23-0D5B4563AEB8}"/>
            </a:ext>
          </a:extLst>
        </xdr:cNvPr>
        <xdr:cNvSpPr txBox="1"/>
      </xdr:nvSpPr>
      <xdr:spPr>
        <a:xfrm>
          <a:off x="298450" y="298450"/>
          <a:ext cx="90805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247650</xdr:colOff>
      <xdr:row>1</xdr:row>
      <xdr:rowOff>101600</xdr:rowOff>
    </xdr:from>
    <xdr:to>
      <xdr:col>7</xdr:col>
      <xdr:colOff>1390650</xdr:colOff>
      <xdr:row>2</xdr:row>
      <xdr:rowOff>177587</xdr:rowOff>
    </xdr:to>
    <xdr:sp macro="[0]!OpenFormServico" textlink="">
      <xdr:nvSpPr>
        <xdr:cNvPr id="6" name="Rounded Rectangle 12">
          <a:extLst>
            <a:ext uri="{FF2B5EF4-FFF2-40B4-BE49-F238E27FC236}">
              <a16:creationId xmlns:a16="http://schemas.microsoft.com/office/drawing/2014/main" id="{4E2950D5-29FE-4DBB-B97F-D5401AC574ED}"/>
            </a:ext>
          </a:extLst>
        </xdr:cNvPr>
        <xdr:cNvSpPr/>
      </xdr:nvSpPr>
      <xdr:spPr>
        <a:xfrm>
          <a:off x="14363700" y="692150"/>
          <a:ext cx="1143000" cy="27283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+ Novo</a:t>
          </a:r>
        </a:p>
      </xdr:txBody>
    </xdr:sp>
    <xdr:clientData/>
  </xdr:twoCellAnchor>
  <xdr:twoCellAnchor>
    <xdr:from>
      <xdr:col>1</xdr:col>
      <xdr:colOff>0</xdr:colOff>
      <xdr:row>1</xdr:row>
      <xdr:rowOff>44450</xdr:rowOff>
    </xdr:from>
    <xdr:to>
      <xdr:col>2</xdr:col>
      <xdr:colOff>265112</xdr:colOff>
      <xdr:row>3</xdr:row>
      <xdr:rowOff>38100</xdr:rowOff>
    </xdr:to>
    <xdr:pic>
      <xdr:nvPicPr>
        <xdr:cNvPr id="7" name="Graphic 6" descr="Home">
          <a:extLst>
            <a:ext uri="{FF2B5EF4-FFF2-40B4-BE49-F238E27FC236}">
              <a16:creationId xmlns:a16="http://schemas.microsoft.com/office/drawing/2014/main" id="{5DD0B51D-C9D5-4AF5-B211-7165E338C6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25564" b="28571"/>
        <a:stretch>
          <a:fillRect/>
        </a:stretch>
      </xdr:blipFill>
      <xdr:spPr>
        <a:xfrm flipH="1">
          <a:off x="298450" y="241300"/>
          <a:ext cx="893762" cy="387350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1</xdr:row>
      <xdr:rowOff>95250</xdr:rowOff>
    </xdr:from>
    <xdr:to>
      <xdr:col>2</xdr:col>
      <xdr:colOff>260350</xdr:colOff>
      <xdr:row>3</xdr:row>
      <xdr:rowOff>25400</xdr:rowOff>
    </xdr:to>
    <xdr:sp macro="[0]!GoHomeFromServicos" textlink="">
      <xdr:nvSpPr>
        <xdr:cNvPr id="5" name="TextBox 4">
          <a:extLst>
            <a:ext uri="{FF2B5EF4-FFF2-40B4-BE49-F238E27FC236}">
              <a16:creationId xmlns:a16="http://schemas.microsoft.com/office/drawing/2014/main" id="{133ED48D-0E53-441E-BC36-6820D36FD3EB}"/>
            </a:ext>
          </a:extLst>
        </xdr:cNvPr>
        <xdr:cNvSpPr txBox="1"/>
      </xdr:nvSpPr>
      <xdr:spPr>
        <a:xfrm>
          <a:off x="311150" y="292100"/>
          <a:ext cx="876300" cy="32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="1">
              <a:solidFill>
                <a:schemeClr val="tx1">
                  <a:lumMod val="85000"/>
                  <a:lumOff val="15000"/>
                </a:schemeClr>
              </a:solidFill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1530350</xdr:colOff>
      <xdr:row>1</xdr:row>
      <xdr:rowOff>57362</xdr:rowOff>
    </xdr:from>
    <xdr:to>
      <xdr:col>8</xdr:col>
      <xdr:colOff>60325</xdr:colOff>
      <xdr:row>3</xdr:row>
      <xdr:rowOff>111689</xdr:rowOff>
    </xdr:to>
    <xdr:sp macro="[0]!OpenFormServico" textlink="">
      <xdr:nvSpPr>
        <xdr:cNvPr id="2" name="Rounded Rectangle 12">
          <a:extLst>
            <a:ext uri="{FF2B5EF4-FFF2-40B4-BE49-F238E27FC236}">
              <a16:creationId xmlns:a16="http://schemas.microsoft.com/office/drawing/2014/main" id="{E4B3FE13-716E-4573-BECE-8CB1D0BA3D63}"/>
            </a:ext>
          </a:extLst>
        </xdr:cNvPr>
        <xdr:cNvSpPr/>
      </xdr:nvSpPr>
      <xdr:spPr>
        <a:xfrm>
          <a:off x="17970500" y="222462"/>
          <a:ext cx="3184525" cy="38452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Cadastrar</a:t>
          </a:r>
          <a:r>
            <a:rPr lang="en-GB" sz="1400" b="1">
              <a:solidFill>
                <a:schemeClr val="bg1"/>
              </a:solidFill>
            </a:rPr>
            <a:t> </a:t>
          </a:r>
          <a:r>
            <a:rPr lang="en-GB" sz="1400" b="1">
              <a:solidFill>
                <a:sysClr val="windowText" lastClr="000000"/>
              </a:solidFill>
            </a:rPr>
            <a:t>Serviços</a:t>
          </a:r>
        </a:p>
      </xdr:txBody>
    </xdr:sp>
    <xdr:clientData/>
  </xdr:twoCellAnchor>
  <xdr:twoCellAnchor editAs="oneCell">
    <xdr:from>
      <xdr:col>1</xdr:col>
      <xdr:colOff>29350</xdr:colOff>
      <xdr:row>0</xdr:row>
      <xdr:rowOff>137300</xdr:rowOff>
    </xdr:from>
    <xdr:to>
      <xdr:col>1</xdr:col>
      <xdr:colOff>514350</xdr:colOff>
      <xdr:row>3</xdr:row>
      <xdr:rowOff>31750</xdr:rowOff>
    </xdr:to>
    <xdr:pic>
      <xdr:nvPicPr>
        <xdr:cNvPr id="3" name="Graphic 2" descr="Voltar para Tela Inicial">
          <a:hlinkClick xmlns:r="http://schemas.openxmlformats.org/officeDocument/2006/relationships" r:id="rId1" tooltip="Voltar para tela inicial"/>
          <a:extLst>
            <a:ext uri="{FF2B5EF4-FFF2-40B4-BE49-F238E27FC236}">
              <a16:creationId xmlns:a16="http://schemas.microsoft.com/office/drawing/2014/main" id="{A08259F3-A9BA-4029-8568-F3BAE9E48C6C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1600" y="137300"/>
          <a:ext cx="485000" cy="485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120650</xdr:colOff>
      <xdr:row>2</xdr:row>
      <xdr:rowOff>25612</xdr:rowOff>
    </xdr:from>
    <xdr:to>
      <xdr:col>13</xdr:col>
      <xdr:colOff>41275</xdr:colOff>
      <xdr:row>4</xdr:row>
      <xdr:rowOff>79939</xdr:rowOff>
    </xdr:to>
    <xdr:sp macro="[0]!OpenFormServico" textlink="">
      <xdr:nvSpPr>
        <xdr:cNvPr id="2" name="Rounded Rectangle 12">
          <a:extLst>
            <a:ext uri="{FF2B5EF4-FFF2-40B4-BE49-F238E27FC236}">
              <a16:creationId xmlns:a16="http://schemas.microsoft.com/office/drawing/2014/main" id="{F5FDCE5F-7849-4F28-B171-1D3355D08723}"/>
            </a:ext>
          </a:extLst>
        </xdr:cNvPr>
        <xdr:cNvSpPr/>
      </xdr:nvSpPr>
      <xdr:spPr>
        <a:xfrm>
          <a:off x="11156950" y="419312"/>
          <a:ext cx="2028825" cy="44802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Cadastrar</a:t>
          </a:r>
          <a:r>
            <a:rPr lang="en-GB" sz="1400" b="1">
              <a:solidFill>
                <a:schemeClr val="bg1"/>
              </a:solidFill>
            </a:rPr>
            <a:t> </a:t>
          </a:r>
          <a:r>
            <a:rPr lang="en-GB" sz="1400" b="1">
              <a:solidFill>
                <a:sysClr val="windowText" lastClr="000000"/>
              </a:solidFill>
            </a:rPr>
            <a:t>Serviços</a:t>
          </a:r>
        </a:p>
      </xdr:txBody>
    </xdr:sp>
    <xdr:clientData/>
  </xdr:twoCellAnchor>
  <xdr:twoCellAnchor editAs="oneCell">
    <xdr:from>
      <xdr:col>1</xdr:col>
      <xdr:colOff>29350</xdr:colOff>
      <xdr:row>0</xdr:row>
      <xdr:rowOff>137300</xdr:rowOff>
    </xdr:from>
    <xdr:to>
      <xdr:col>1</xdr:col>
      <xdr:colOff>514350</xdr:colOff>
      <xdr:row>3</xdr:row>
      <xdr:rowOff>31750</xdr:rowOff>
    </xdr:to>
    <xdr:pic>
      <xdr:nvPicPr>
        <xdr:cNvPr id="3" name="Graphic 2" descr="Voltar para Tela Inicial">
          <a:hlinkClick xmlns:r="http://schemas.openxmlformats.org/officeDocument/2006/relationships" r:id="rId1" tooltip="Voltar para tela inicial"/>
          <a:extLst>
            <a:ext uri="{FF2B5EF4-FFF2-40B4-BE49-F238E27FC236}">
              <a16:creationId xmlns:a16="http://schemas.microsoft.com/office/drawing/2014/main" id="{9D1FC85A-8013-4F2C-B2BD-6A774607DF4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1600" y="137300"/>
          <a:ext cx="485000" cy="485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B49DF2A-BAA8-444F-872A-F7A968527BCD}" name="tbl_funcionarios" displayName="tbl_funcionarios" ref="B5:O9" totalsRowShown="0" headerRowDxfId="136" dataDxfId="134" headerRowBorderDxfId="135" tableBorderDxfId="133" headerRowCellStyle="Bad">
  <sortState xmlns:xlrd2="http://schemas.microsoft.com/office/spreadsheetml/2017/richdata2" ref="B5:O5">
    <sortCondition ref="B5"/>
  </sortState>
  <tableColumns count="14">
    <tableColumn id="1" xr3:uid="{D21BFE7A-421C-48D3-8141-2FB032C09880}" name="ID" dataDxfId="132"/>
    <tableColumn id="16" xr3:uid="{AFDCF618-3AF7-4C3F-8766-5C91A9D1E465}" name="Perfil" dataDxfId="131"/>
    <tableColumn id="2" xr3:uid="{01747D85-4385-4BEE-827D-ED8FC33D84B1}" name="Funcionário" dataDxfId="130"/>
    <tableColumn id="3" xr3:uid="{BA9E7BFE-CBA4-4B34-B9F9-0ED7DE86ECD9}" name="Endereço" dataDxfId="129"/>
    <tableColumn id="4" xr3:uid="{00B38618-8CD6-4C08-B0B2-07840FE770BD}" name="E-mail" dataDxfId="128"/>
    <tableColumn id="10" xr3:uid="{CE6DC4BA-2DF4-4A8C-85D5-D2C00B174118}" name="Telefone" dataDxfId="127"/>
    <tableColumn id="11" xr3:uid="{26559927-BB45-458E-BD65-C62D843CCEA7}" name="Cargo" dataDxfId="126"/>
    <tableColumn id="5" xr3:uid="{789B123A-54FB-4AD6-8052-AFAD96C9497C}" name="CPF" dataDxfId="125"/>
    <tableColumn id="8" xr3:uid="{0D65FAC6-4219-4878-A8D9-7B7044916400}" name="Data de Nascimento" dataDxfId="124"/>
    <tableColumn id="7" xr3:uid="{AA4F222E-618D-4B28-AAFC-10853442405C}" name="Situação" dataDxfId="123"/>
    <tableColumn id="6" xr3:uid="{9E434D7A-534B-4FB5-A901-BA77CD4B80F7}" name="Salário" dataDxfId="122"/>
    <tableColumn id="12" xr3:uid="{3FAB718B-4544-4822-BE3E-488AE37AB061}" name="Funcionário ativo" dataDxfId="121"/>
    <tableColumn id="14" xr3:uid="{B7CEA053-0E0B-4BA5-A6F7-2E81DD325627}" name="Data de cadastro" dataDxfId="120"/>
    <tableColumn id="13" xr3:uid="{442AE06A-DD0B-41FD-ADC1-45D9BA02B1AA}" name="Editar" dataDxfId="119" dataCellStyle="Hyperlink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2C062B-D82F-1E48-9B0A-22FADEFD1796}" name="tbl_clientes" displayName="tbl_clientes" ref="B5:N14" totalsRowShown="0" headerRowDxfId="118" dataDxfId="116" headerRowBorderDxfId="117" tableBorderDxfId="115" headerRowCellStyle="Bad">
  <sortState xmlns:xlrd2="http://schemas.microsoft.com/office/spreadsheetml/2017/richdata2" ref="B5:N5">
    <sortCondition ref="B5"/>
  </sortState>
  <tableColumns count="13">
    <tableColumn id="1" xr3:uid="{70362B60-0BF8-2940-9959-2FAD92B117CB}" name="ID" dataDxfId="114"/>
    <tableColumn id="2" xr3:uid="{CDA68B62-F956-054B-B516-BD1418BC2ADA}" name="Nome Completo" dataDxfId="113"/>
    <tableColumn id="3" xr3:uid="{0CF00DCF-1134-1841-BEAA-F94DCE1DC232}" name="CPF" dataDxfId="112"/>
    <tableColumn id="4" xr3:uid="{41E8A8D6-A010-584C-B745-72B10E5FA799}" name="Telefone" dataDxfId="111"/>
    <tableColumn id="5" xr3:uid="{83CF1393-7170-FA4A-8AB6-9BE3583A4E0E}" name="E-mail" dataDxfId="110"/>
    <tableColumn id="6" xr3:uid="{DBB7A897-9F7F-0542-B52E-E83B0352CC4C}" name="Endereço" dataDxfId="109"/>
    <tableColumn id="7" xr3:uid="{AE95990A-FE05-3941-B42A-3CC0D2A27B34}" name="Nr. Casa/ Apt" dataDxfId="108"/>
    <tableColumn id="8" xr3:uid="{D0246E2A-05AD-914B-8A94-3D88A2C869B8}" name="Bairro" dataDxfId="107"/>
    <tableColumn id="9" xr3:uid="{F08AD7B6-AC16-BD45-9D3D-13D9EA55F244}" name="Cidade" dataDxfId="106"/>
    <tableColumn id="10" xr3:uid="{9BE69A26-72F4-5F4A-808F-A8639C7B0982}" name="Estado (UF)" dataDxfId="105"/>
    <tableColumn id="11" xr3:uid="{44532C05-3D77-8148-9ACA-A012C596ADAD}" name="Cliente Ativo" dataDxfId="104"/>
    <tableColumn id="12" xr3:uid="{A6934C5F-0F93-DA43-B550-BC97FDE08DA2}" name="Data de Cadastro" dataDxfId="103"/>
    <tableColumn id="13" xr3:uid="{6BAFC642-DABE-449B-B7C5-746362D3B399}" name="Editar" dataDxfId="102" dataCellStyle="Hyperlink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BD92D4-C37D-450A-828D-DF368A0E4A12}" name="tbl_servicos" displayName="tbl_servicos" ref="B5:H11" totalsRowShown="0" headerRowDxfId="101" dataDxfId="99" headerRowBorderDxfId="100" tableBorderDxfId="98" headerRowCellStyle="Bad">
  <sortState xmlns:xlrd2="http://schemas.microsoft.com/office/spreadsheetml/2017/richdata2" ref="B5:H5">
    <sortCondition ref="B5"/>
  </sortState>
  <tableColumns count="7">
    <tableColumn id="1" xr3:uid="{4A843040-143F-4848-A18F-177C5061F885}" name="ID" dataDxfId="97"/>
    <tableColumn id="2" xr3:uid="{76661482-4680-4A0D-89BB-A90A6A389B06}" name="Serviço" dataDxfId="96"/>
    <tableColumn id="3" xr3:uid="{74604EB9-577A-4644-B8C5-0680ACEBD27E}" name="Descrição" dataDxfId="95"/>
    <tableColumn id="4" xr3:uid="{D22002ED-DF38-4769-BC94-4ED76CEDA1F4}" name="Preço Médio (Mão de obra)" dataDxfId="94"/>
    <tableColumn id="10" xr3:uid="{14CED0DA-F3D6-4CFE-8EF6-B0214DEE26FA}" name="Serviço ativo" dataDxfId="93"/>
    <tableColumn id="11" xr3:uid="{78FCD4F6-95C7-4F48-936B-0CE0A4FC861A}" name="Data de Cadastro" dataDxfId="92"/>
    <tableColumn id="13" xr3:uid="{1C2F8A4B-B2D7-419F-BE52-66088013437A}" name="Editar" dataDxfId="91" dataCellStyle="Hyperlink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65354F2-1C1E-4027-9ED5-52B41E78380A}" name="tbl_servicos1020" displayName="tbl_servicos1020" ref="B7:P13" totalsRowShown="0" headerRowDxfId="90" dataDxfId="88" headerRowBorderDxfId="89" tableBorderDxfId="87" headerRowCellStyle="Bad">
  <sortState xmlns:xlrd2="http://schemas.microsoft.com/office/spreadsheetml/2017/richdata2" ref="B7:P8">
    <sortCondition ref="B7"/>
  </sortState>
  <tableColumns count="15">
    <tableColumn id="1" xr3:uid="{44E1A949-CEA3-416F-8D43-E4923A10DC84}" name="ID" dataDxfId="86"/>
    <tableColumn id="2" xr3:uid="{AAC0E2FB-0C8E-44CE-9251-DBD5FB4DE57F}" name="Funcionário" dataDxfId="85"/>
    <tableColumn id="3" xr3:uid="{2D4AF90F-3EB1-46E0-BB38-1222A8806C83}" name="CNPJ" dataDxfId="84"/>
    <tableColumn id="4" xr3:uid="{DE0D3A63-5A57-4759-8E3C-6B38035287B3}" name="Nome Fantasia" dataDxfId="83"/>
    <tableColumn id="10" xr3:uid="{87CDB74B-504C-454E-A1D8-49EB209B75D1}" name="Endereço" dataDxfId="82"/>
    <tableColumn id="11" xr3:uid="{D0086E22-DE29-45B4-AA83-6E68197EB6EE}" name="Bairro" dataDxfId="81"/>
    <tableColumn id="5" xr3:uid="{0E403CDF-3981-46AA-97EA-0E4254675C3C}" name="Cidade" dataDxfId="80"/>
    <tableColumn id="8" xr3:uid="{B930C67F-A394-4ACD-9575-B9DCDAFAB263}" name="Estado" dataDxfId="79"/>
    <tableColumn id="7" xr3:uid="{6EF92B52-7955-42EF-82A1-B02FBD1F1BAF}" name="Telefone" dataDxfId="78"/>
    <tableColumn id="6" xr3:uid="{E5C1D9A2-C020-411C-AB8A-2CF1E69AB70A}" name="Email" dataDxfId="77"/>
    <tableColumn id="9" xr3:uid="{80F4D9E9-E7C7-4277-8885-F5DE7BC9D8A7}" name="Site" dataDxfId="76"/>
    <tableColumn id="12" xr3:uid="{BE368999-4E73-41AA-B933-9C644DECB6F7}" name="Tempo de entrega (em dias)" dataDxfId="75"/>
    <tableColumn id="14" xr3:uid="{AA463158-1CCA-4F1A-B82C-8BB1AC6D3EBC}" name="Fornecedor ativo" dataDxfId="74"/>
    <tableColumn id="15" xr3:uid="{9C76BC0C-2BEA-493F-87E9-316D845DCF9C}" name="Data de cadastro" dataDxfId="73"/>
    <tableColumn id="13" xr3:uid="{3F83C24F-FBCB-4626-8913-006CDC2096B4}" name="Editar" dataDxfId="72" dataCellStyle="Hyperlink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869B795-227B-4504-8BA2-22C0343B8520}" name="Table1621" displayName="Table1621" ref="B24:M26" totalsRowShown="0" headerRowDxfId="71" dataDxfId="70">
  <autoFilter ref="B24:M26" xr:uid="{5869B795-227B-4504-8BA2-22C0343B8520}"/>
  <tableColumns count="12">
    <tableColumn id="1" xr3:uid="{AEEE3763-8615-4D39-9919-319D0870E8A7}" name="id_fornecedor" dataDxfId="69"/>
    <tableColumn id="2" xr3:uid="{211A5319-01C6-439B-90BD-75BA0C30CD4D}" name="id_funcionario" dataDxfId="68"/>
    <tableColumn id="3" xr3:uid="{FE8969BB-E5A6-4D00-A7C8-E381BC4C75B8}" name="cnpj" dataDxfId="67"/>
    <tableColumn id="4" xr3:uid="{3358E09E-A759-45D0-AB71-CA7BA6CC1138}" name="nome_fantasia" dataDxfId="66"/>
    <tableColumn id="5" xr3:uid="{8C0DDD9D-5467-4B47-A95D-2BFA239A7E65}" name="endereco" dataDxfId="65"/>
    <tableColumn id="6" xr3:uid="{71014AE8-8DA3-4325-970D-BBBEE109AB7E}" name="bairro" dataDxfId="64"/>
    <tableColumn id="7" xr3:uid="{26E76D9B-0A95-48DF-9700-BEC660309C80}" name="cidade" dataDxfId="63"/>
    <tableColumn id="8" xr3:uid="{7C58C0D9-FD14-4EBF-A30D-F642224FD795}" name="estado" dataDxfId="62"/>
    <tableColumn id="9" xr3:uid="{B8FE4EA0-F634-4AC8-8526-2CDA968140AA}" name="telefone" dataDxfId="61"/>
    <tableColumn id="10" xr3:uid="{6F76344E-EE31-4AFB-93E4-B98B407A4777}" name="email" dataDxfId="60"/>
    <tableColumn id="11" xr3:uid="{00189818-0AA9-42AE-A8CC-93272C9A2B66}" name="site" dataDxfId="59"/>
    <tableColumn id="12" xr3:uid="{156B202C-0834-496D-B0FE-A6070B0D6FBB}" name="tempo_entrega" dataDxfId="5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8C7CF89-BE7A-415D-B98A-CEB2095C66A0}" name="tbl_Materiais13" displayName="tbl_Materiais13" ref="B22:L28" totalsRowShown="0" headerRowDxfId="57" dataDxfId="56">
  <autoFilter ref="B22:L28" xr:uid="{98C7CF89-BE7A-415D-B98A-CEB2095C66A0}"/>
  <tableColumns count="11">
    <tableColumn id="1" xr3:uid="{68A2BE4C-8146-49F5-971E-6D5B96D064BB}" name="id_material" dataDxfId="55"/>
    <tableColumn id="7" xr3:uid="{8198180D-A072-4819-873F-03F319DEDA83}" name="id_funcionario" dataDxfId="54"/>
    <tableColumn id="8" xr3:uid="{881755BC-83D8-44D4-8B6E-A0D165A8DE44}" name="nome_fabricante" dataDxfId="53"/>
    <tableColumn id="11" xr3:uid="{A7BE4EA5-D057-4F24-AE12-D40D6F3F3940}" name="id_fornecedor" dataDxfId="52"/>
    <tableColumn id="2" xr3:uid="{7E075C73-9A44-41C8-BC6A-6E109E2704FE}" name="nome_produto" dataDxfId="51"/>
    <tableColumn id="3" xr3:uid="{BBD2DB29-0176-42C8-A2F3-4F1D07ABC668}" name="unidade" dataDxfId="50"/>
    <tableColumn id="9" xr3:uid="{5FAC3FA3-4870-4430-B47E-5CD126BA02AE}" name="custo_de_compra_unitario" dataDxfId="49" dataCellStyle="Currency"/>
    <tableColumn id="10" xr3:uid="{8354DB65-3421-4B53-89B3-E68C8322053E}" name="descricao" dataDxfId="48"/>
    <tableColumn id="5" xr3:uid="{F5723526-EEC7-4057-9ED6-548569D96A65}" name="estoque_minimo" dataDxfId="47"/>
    <tableColumn id="12" xr3:uid="{EBE15FE4-F28F-440F-9B81-59F04F1ED908}" name="ativo" dataDxfId="46"/>
    <tableColumn id="13" xr3:uid="{B8857AF6-5327-46D7-B7D7-D86A4CBEDBA3}" name="data_entrada" dataDxfId="4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66ACCE8-AF0D-4790-A3DE-EB9900A5B092}" name="tbl_servicos10" displayName="tbl_servicos10" ref="B7:M13" totalsRowShown="0" headerRowDxfId="44" dataDxfId="42" headerRowBorderDxfId="43" tableBorderDxfId="41" headerRowCellStyle="Bad">
  <sortState xmlns:xlrd2="http://schemas.microsoft.com/office/spreadsheetml/2017/richdata2" ref="B7:M8">
    <sortCondition ref="B7"/>
  </sortState>
  <tableColumns count="12">
    <tableColumn id="1" xr3:uid="{EF2D6E35-7FC5-4611-9987-08D3D1EC9D03}" name="ID" dataDxfId="40"/>
    <tableColumn id="2" xr3:uid="{14688DC3-CEC9-45FC-86FF-74B6ACA4880E}" name="Funcionário" dataDxfId="39"/>
    <tableColumn id="3" xr3:uid="{21AF8C63-3E58-4623-AA3C-7CCBD7D57394}" name="Fabricante" dataDxfId="38"/>
    <tableColumn id="4" xr3:uid="{3177EC4D-48EA-475B-8F42-AF5892776194}" name="Fornecedor" dataDxfId="37"/>
    <tableColumn id="10" xr3:uid="{7D649F87-75FE-4493-B294-BE779B9FE76C}" name="Material" dataDxfId="36"/>
    <tableColumn id="11" xr3:uid="{FA60AD5C-46CC-40DC-8B21-2727D5E9B57C}" name="Unidade" dataDxfId="35"/>
    <tableColumn id="5" xr3:uid="{B158BF99-66CD-4720-80F9-1434FF1E3BC8}" name="Custo de Compra da Unidade" dataDxfId="34"/>
    <tableColumn id="8" xr3:uid="{CD1CA143-46DA-4F78-909F-B3D95C4B0FBB}" name="Descrição" dataDxfId="33"/>
    <tableColumn id="7" xr3:uid="{B973C69F-3480-4D63-A2E5-D5AEDD9F8176}" name="Estoque" dataDxfId="32"/>
    <tableColumn id="6" xr3:uid="{4F94FD7D-BBA8-4A57-881F-1F0FBB942884}" name="Ativo" dataDxfId="31"/>
    <tableColumn id="9" xr3:uid="{583F4620-F3FF-4C49-9258-115728BC1806}" name="Data de cadastro" dataDxfId="30"/>
    <tableColumn id="13" xr3:uid="{1AC5F63E-121B-42B4-A28B-AC8EDC5506D0}" name="Editar" dataDxfId="29" dataCellStyle="Hyperlink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8F1A94F-2E35-4045-A848-1ED27D162834}" name="tbl_Servicos_Materiais_Padrao16" displayName="tbl_Servicos_Materiais_Padrao16" ref="A1:F7" totalsRowShown="0">
  <autoFilter ref="A1:F7" xr:uid="{D8F1A94F-2E35-4045-A848-1ED27D162834}"/>
  <tableColumns count="6">
    <tableColumn id="1" xr3:uid="{80E39603-82EB-1740-993F-176F0180255E}" name="id_servico_material"/>
    <tableColumn id="2" xr3:uid="{88D6AE4C-2F1D-2946-9DFF-7D3EA569096A}" name="id_servico"/>
    <tableColumn id="3" xr3:uid="{F1B8A157-9A6A-E642-8BEA-45D8BCF5EC83}" name="id_material"/>
    <tableColumn id="4" xr3:uid="{61AAD11B-BCE7-694E-BF94-D1AA92484F19}" name="quantidade_padrao"/>
    <tableColumn id="6" xr3:uid="{A4B56B8A-D474-44DD-91F5-7FCAC60B4AE4}" name="Custo do serviço (mão de obra)"/>
    <tableColumn id="5" xr3:uid="{9660FF43-CE28-844C-8343-5DB4F9953F6C}" name="Custo de Material Padrão" dataDxfId="28">
      <calculatedColumnFormula>INDEX(#REF!,MATCH(tbl_Servicos_Materiais_Padrao16[[#This Row],[id_material]],#REF!,0))*tbl_Servicos_Materiais_Padrao16[[#This Row],[quantidade_padrao]]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2789D2-E12F-7247-A013-175C1C229BDB}" name="Veículos" displayName="Veículos" ref="B21:J22" totalsRowShown="0" headerRowDxfId="27" headerRowBorderDxfId="26" tableBorderDxfId="25" totalsRowBorderDxfId="24">
  <autoFilter ref="B21:J22" xr:uid="{C82789D2-E12F-7247-A013-175C1C229BDB}"/>
  <tableColumns count="9">
    <tableColumn id="1" xr3:uid="{52A2A0CE-73FD-1643-B136-C3799B22B19E}" name="id_veiculo" dataDxfId="23"/>
    <tableColumn id="2" xr3:uid="{B86D1940-E0D5-8B4D-9504-984ABE8CB82F}" name="id_cliente" dataDxfId="22"/>
    <tableColumn id="3" xr3:uid="{64839CF7-9AEA-6044-A93F-768101275667}" name="marca" dataDxfId="21"/>
    <tableColumn id="4" xr3:uid="{466AE47A-6D9C-1D4E-9760-C12F82148A3D}" name="modelo" dataDxfId="20"/>
    <tableColumn id="5" xr3:uid="{70732AF3-F50C-6847-971B-76DCA71CAE0F}" name="ano" dataDxfId="19"/>
    <tableColumn id="6" xr3:uid="{7D9F4BD0-357F-B348-B45D-E639C8B1BC6A}" name="placa" dataDxfId="18"/>
    <tableColumn id="7" xr3:uid="{E91BFDAF-1536-D04B-852C-AF7E9E6EDA44}" name="Veículo ativo" dataDxfId="17"/>
    <tableColumn id="8" xr3:uid="{360E29C8-2C8E-744C-B33B-02021D8C58EB}" name="data de cadastro" dataDxfId="16"/>
    <tableColumn id="10" xr3:uid="{06E2EEC1-0E3C-EB46-A1A5-777681E495EF}" name="Carregar lista de servicos" dataDxfId="15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D684D51-D250-634B-A851-96084971369D}" name="tbl_Ordem_Servico14" displayName="tbl_Ordem_Servico14" ref="B26:N30" totalsRowShown="0">
  <autoFilter ref="B26:N30" xr:uid="{1D684D51-D250-634B-A851-96084971369D}"/>
  <tableColumns count="13">
    <tableColumn id="1" xr3:uid="{51EEEED3-E0AD-2D49-A259-1F91E7CFC122}" name="id_os" dataDxfId="14"/>
    <tableColumn id="2" xr3:uid="{3EAACEF4-FC1B-1641-BD46-074BC5773F1E}" name="id_cliente" dataDxfId="13"/>
    <tableColumn id="3" xr3:uid="{912A8ADE-E079-E541-BAAB-9E29146ADCD6}" name="id_veiculo" dataDxfId="12"/>
    <tableColumn id="4" xr3:uid="{0D5C31C3-8854-CF47-8B8C-D659884C9F16}" name="id_servico" dataDxfId="11"/>
    <tableColumn id="5" xr3:uid="{F3C1D294-5248-8348-9B9C-EA692E322286}" name="id_funcioanrio" dataDxfId="10"/>
    <tableColumn id="17" xr3:uid="{DAC02C60-3E8C-834B-86AF-00343DD25456}" name="Serviço Executado por" dataDxfId="9"/>
    <tableColumn id="6" xr3:uid="{7143A36F-4E95-B743-8E18-2138BA0CBF3A}" name="data_abertura"/>
    <tableColumn id="7" xr3:uid="{A88E8656-5639-BE4F-A1D0-8C593FBAEE84}" name="data_conclusao"/>
    <tableColumn id="8" xr3:uid="{1A0AF511-FC1B-774D-ABB3-C866254D1494}" name="mao_obra" dataDxfId="8">
      <calculatedColumnFormula>INDEX(#REF!,MATCH(tbl_Ordem_Servico14[[#This Row],[id_servico]],#REF!,0))</calculatedColumnFormula>
    </tableColumn>
    <tableColumn id="10" xr3:uid="{8DD5F80E-0059-EA4B-BE55-ED097F4E7FC5}" name="status"/>
    <tableColumn id="11" xr3:uid="{67871696-B392-8C44-B922-8B4AEF5CF25B}" name="observacoes"/>
    <tableColumn id="12" xr3:uid="{8E735101-9E3D-114D-A7EA-407EFB284D52}" name="Custo de Material Padrão" dataDxfId="7">
      <calculatedColumnFormula>SUM(tbl_Servicos_Materiais_Padrao[Custo de Material])</calculatedColumnFormula>
    </tableColumn>
    <tableColumn id="15" xr3:uid="{EF49CB9A-D7B3-1D4E-BBB5-3F8A9BB2DF8C}" name="Valor Total" dataDxfId="6">
      <calculatedColumnFormula>tbl_Ordem_Servico14[[#This Row],[Custo de Material Padrão]]+tbl_Ordem_Servico14[[#This Row],[mao_obra]]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BB194F-04A6-4747-97EB-835A03BA4E25}" name="tbl_Fluxo_Caixa15" displayName="tbl_Fluxo_Caixa15" ref="B41:I42" totalsRowShown="0">
  <autoFilter ref="B41:I42" xr:uid="{87BB194F-04A6-4747-97EB-835A03BA4E25}"/>
  <tableColumns count="8">
    <tableColumn id="1" xr3:uid="{6557A432-7AC2-3341-9E77-4D14D5045D07}" name="id_lancamento"/>
    <tableColumn id="2" xr3:uid="{46C666A3-7A4D-2940-8909-4B71EF84FC51}" name="id_os"/>
    <tableColumn id="3" xr3:uid="{A9ED21A9-3E81-1043-BF21-9A00007C8F68}" name="tipo"/>
    <tableColumn id="4" xr3:uid="{B8D20610-29CF-FE4D-8B5C-B19B32800DB4}" name="categoria"/>
    <tableColumn id="5" xr3:uid="{ABAB5E05-8231-6242-98B9-3BAA461F10C7}" name="descricao"/>
    <tableColumn id="6" xr3:uid="{EE7B3535-94E4-9440-82C7-678055788F17}" name="valor"/>
    <tableColumn id="7" xr3:uid="{322F2E38-AA8A-7142-89CE-271DC4B77239}" name="data_lancamento"/>
    <tableColumn id="8" xr3:uid="{952486FE-2A8A-7549-980D-CB8774BC2B10}" name="valor faltante" dataDxfId="5" dataCellStyle="Currency">
      <calculatedColumnFormula>tbl_Fluxo_Caixa15[[#This Row],[valor]]-tbl_Ordem_Servico14[[#This Row],[Valor Total]]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_Servicos_Materiais_Padrao" displayName="tbl_Servicos_Materiais_Padrao" ref="B34:I37" totalsRowShown="0">
  <autoFilter ref="B34:I37" xr:uid="{00000000-0009-0000-0100-000005000000}"/>
  <tableColumns count="8">
    <tableColumn id="1" xr3:uid="{00000000-0010-0000-0400-000001000000}" name="id_servico_material"/>
    <tableColumn id="2" xr3:uid="{00000000-0010-0000-0400-000002000000}" name="id_servico"/>
    <tableColumn id="3" xr3:uid="{00000000-0010-0000-0400-000003000000}" name="id_material"/>
    <tableColumn id="4" xr3:uid="{00000000-0010-0000-0400-000004000000}" name="quantidade_padrao"/>
    <tableColumn id="5" xr3:uid="{1E348425-32D8-4141-B55B-9582AC6D94A0}" name="Custo de Material" dataDxfId="4">
      <calculatedColumnFormula>INDEX(#REF!,MATCH(tbl_Servicos_Materiais_Padrao[[#This Row],[id_material]],#REF!,0))*tbl_Servicos_Materiais_Padrao[[#This Row],[quantidade_padrao]]</calculatedColumnFormula>
    </tableColumn>
    <tableColumn id="6" xr3:uid="{FE502D59-8915-A74B-9B22-990CC3B1A8D7}" name="status" dataDxfId="3"/>
    <tableColumn id="7" xr3:uid="{3B0F1F70-7444-814F-B054-14F04ECB7A98}" name="Material em estoque" dataDxfId="2"/>
    <tableColumn id="8" xr3:uid="{A1BA8CB6-E3A0-0F4A-905A-2A0F8CB48F57}" name="checklist - Padrão de Qualidade" dataDxfId="1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_Orcamentos" displayName="tbl_Orcamentos" ref="A1:J2" totalsRowShown="0">
  <autoFilter ref="A1:J2" xr:uid="{00000000-0009-0000-0100-000006000000}"/>
  <tableColumns count="10">
    <tableColumn id="1" xr3:uid="{00000000-0010-0000-0500-000001000000}" name="id_orcamento"/>
    <tableColumn id="2" xr3:uid="{00000000-0010-0000-0500-000002000000}" name="id_cliente"/>
    <tableColumn id="3" xr3:uid="{00000000-0010-0000-0500-000003000000}" name="id_veiculo"/>
    <tableColumn id="4" xr3:uid="{00000000-0010-0000-0500-000004000000}" name="id_servico"/>
    <tableColumn id="5" xr3:uid="{00000000-0010-0000-0500-000005000000}" name="data_orcamento"/>
    <tableColumn id="6" xr3:uid="{00000000-0010-0000-0500-000006000000}" name="mao_obra"/>
    <tableColumn id="7" xr3:uid="{00000000-0010-0000-0500-000007000000}" name="materiais"/>
    <tableColumn id="8" xr3:uid="{00000000-0010-0000-0500-000008000000}" name="margem_lucro"/>
    <tableColumn id="9" xr3:uid="{00000000-0010-0000-0500-000009000000}" name="valor_total"/>
    <tableColumn id="10" xr3:uid="{00000000-0010-0000-0500-00000A000000}" name="aprovado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_Movimentacao_Estoque" displayName="tbl_Movimentacao_Estoque" ref="A1:G5" totalsRowShown="0">
  <autoFilter ref="A1:G5" xr:uid="{00000000-0009-0000-0100-000008000000}"/>
  <tableColumns count="7">
    <tableColumn id="1" xr3:uid="{00000000-0010-0000-0700-000001000000}" name="id_mov"/>
    <tableColumn id="2" xr3:uid="{00000000-0010-0000-0700-000002000000}" name="id_material"/>
    <tableColumn id="3" xr3:uid="{00000000-0010-0000-0700-000003000000}" name="id_os"/>
    <tableColumn id="4" xr3:uid="{00000000-0010-0000-0700-000004000000}" name="tipo_movimentacao"/>
    <tableColumn id="5" xr3:uid="{00000000-0010-0000-0700-000005000000}" name="quantidade"/>
    <tableColumn id="6" xr3:uid="{00000000-0010-0000-0700-000006000000}" name="data_mov"/>
    <tableColumn id="7" xr3:uid="{00000000-0010-0000-0700-000007000000}" name="observaco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hyperlink" Target="mailto:saracarolinevs@hotmail.com" TargetMode="Externa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284D-F96D-854E-8364-1CA0A2A7628B}">
  <sheetPr codeName="sh_home"/>
  <dimension ref="A1:XFC102"/>
  <sheetViews>
    <sheetView tabSelected="1" zoomScaleNormal="100" workbookViewId="0">
      <selection activeCell="X48" sqref="X48"/>
    </sheetView>
  </sheetViews>
  <sheetFormatPr defaultColWidth="0" defaultRowHeight="15.5" zeroHeight="1" x14ac:dyDescent="0.35"/>
  <cols>
    <col min="1" max="1" width="9" style="50" customWidth="1"/>
    <col min="2" max="2" width="4.26953125" style="50" customWidth="1"/>
    <col min="3" max="3" width="41.1796875" style="50" bestFit="1" customWidth="1"/>
    <col min="4" max="22" width="9" style="50" customWidth="1"/>
    <col min="23" max="23" width="6.6328125" style="50" customWidth="1"/>
    <col min="24" max="24" width="8.1796875" style="50" customWidth="1"/>
    <col min="25" max="32" width="0" style="50" hidden="1"/>
    <col min="33" max="33" width="7.453125" style="50" hidden="1"/>
    <col min="34" max="34" width="0" style="50" hidden="1"/>
    <col min="35" max="16383" width="7.453125" style="50" hidden="1"/>
    <col min="16384" max="16384" width="0.1796875" style="50" hidden="1"/>
  </cols>
  <sheetData>
    <row r="1" spans="1:24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</row>
    <row r="2" spans="1:24" x14ac:dyDescent="0.35">
      <c r="A2" s="49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</row>
    <row r="3" spans="1:24" s="55" customFormat="1" ht="18.5" x14ac:dyDescent="0.45">
      <c r="A3" s="53"/>
      <c r="B3" s="54"/>
      <c r="C3" s="25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</row>
    <row r="4" spans="1:24" x14ac:dyDescent="0.35">
      <c r="A4" s="49"/>
      <c r="B4" s="51"/>
      <c r="C4" s="52">
        <f ca="1">TODAY()</f>
        <v>45948</v>
      </c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</row>
    <row r="5" spans="1:24" x14ac:dyDescent="0.35">
      <c r="A5" s="49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</row>
    <row r="6" spans="1:24" x14ac:dyDescent="0.35">
      <c r="A6" s="49"/>
      <c r="B6" s="51"/>
      <c r="C6" s="51"/>
      <c r="D6" s="51"/>
      <c r="E6" s="51"/>
      <c r="F6" s="51"/>
      <c r="G6" s="51"/>
      <c r="H6" s="51"/>
      <c r="I6" s="51"/>
      <c r="J6" s="51"/>
      <c r="K6" s="49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</row>
    <row r="7" spans="1:24" x14ac:dyDescent="0.35">
      <c r="A7" s="49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</row>
    <row r="8" spans="1:24" x14ac:dyDescent="0.35">
      <c r="A8" s="49"/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51"/>
      <c r="Q8" s="51"/>
      <c r="R8" s="51"/>
      <c r="S8" s="51"/>
      <c r="T8" s="51"/>
      <c r="U8" s="51"/>
      <c r="V8" s="51"/>
      <c r="W8" s="51"/>
      <c r="X8" s="51"/>
    </row>
    <row r="9" spans="1:24" x14ac:dyDescent="0.35">
      <c r="A9" s="49"/>
      <c r="B9" s="51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51"/>
      <c r="Q9" s="51"/>
      <c r="R9" s="51"/>
      <c r="S9" s="51"/>
      <c r="T9" s="51"/>
      <c r="U9" s="51"/>
      <c r="V9" s="51"/>
      <c r="W9" s="51"/>
      <c r="X9" s="51"/>
    </row>
    <row r="10" spans="1:24" x14ac:dyDescent="0.35">
      <c r="A10" s="49"/>
      <c r="B10" s="51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51"/>
      <c r="Q10" s="51"/>
      <c r="R10" s="51"/>
      <c r="S10" s="51"/>
      <c r="T10" s="51"/>
      <c r="U10" s="51"/>
      <c r="V10" s="51"/>
      <c r="W10" s="51"/>
      <c r="X10" s="51"/>
    </row>
    <row r="11" spans="1:24" x14ac:dyDescent="0.35">
      <c r="A11" s="49"/>
      <c r="B11" s="51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51"/>
      <c r="Q11" s="51"/>
      <c r="R11" s="51"/>
      <c r="S11" s="51"/>
      <c r="T11" s="51"/>
      <c r="U11" s="51"/>
      <c r="V11" s="51"/>
      <c r="W11" s="51"/>
      <c r="X11" s="51"/>
    </row>
    <row r="12" spans="1:24" x14ac:dyDescent="0.35">
      <c r="A12" s="49"/>
      <c r="B12" s="51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51"/>
      <c r="Q12" s="51"/>
      <c r="R12" s="51"/>
      <c r="S12" s="51"/>
      <c r="T12" s="51"/>
      <c r="U12" s="51"/>
      <c r="V12" s="51"/>
      <c r="W12" s="51"/>
      <c r="X12" s="51"/>
    </row>
    <row r="13" spans="1:24" x14ac:dyDescent="0.35">
      <c r="A13" s="49"/>
      <c r="B13" s="51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51"/>
      <c r="Q13" s="51"/>
      <c r="R13" s="51"/>
      <c r="S13" s="51"/>
      <c r="T13" s="51"/>
      <c r="U13" s="51"/>
      <c r="V13" s="51"/>
      <c r="W13" s="51"/>
      <c r="X13" s="51"/>
    </row>
    <row r="14" spans="1:24" x14ac:dyDescent="0.35">
      <c r="A14" s="49"/>
      <c r="B14" s="51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51"/>
      <c r="Q14" s="51"/>
      <c r="R14" s="51"/>
      <c r="S14" s="51"/>
      <c r="T14" s="51"/>
      <c r="U14" s="51"/>
      <c r="V14" s="51"/>
      <c r="W14" s="51"/>
      <c r="X14" s="51"/>
    </row>
    <row r="15" spans="1:24" x14ac:dyDescent="0.35">
      <c r="A15" s="49"/>
      <c r="B15" s="51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  <c r="W15" s="51"/>
      <c r="X15" s="51"/>
    </row>
    <row r="16" spans="1:24" x14ac:dyDescent="0.35">
      <c r="A16" s="49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</row>
    <row r="17" spans="1:24" x14ac:dyDescent="0.35">
      <c r="A17" s="49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</row>
    <row r="18" spans="1:24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</row>
    <row r="19" spans="1:24" x14ac:dyDescent="0.35">
      <c r="A19" s="49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</row>
    <row r="20" spans="1:24" x14ac:dyDescent="0.35">
      <c r="A20" s="49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</row>
    <row r="21" spans="1:24" x14ac:dyDescent="0.35">
      <c r="A21" s="49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</row>
    <row r="22" spans="1:24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</row>
    <row r="23" spans="1:24" x14ac:dyDescent="0.35">
      <c r="A23" s="49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</row>
    <row r="24" spans="1:24" x14ac:dyDescent="0.35">
      <c r="A24" s="49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</row>
    <row r="25" spans="1:24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49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</row>
    <row r="26" spans="1:24" x14ac:dyDescent="0.35">
      <c r="A26" s="49"/>
      <c r="B26" s="51"/>
      <c r="C26" s="49"/>
      <c r="D26" s="51"/>
      <c r="E26" s="51"/>
      <c r="F26" s="51"/>
      <c r="G26" s="51"/>
      <c r="H26" s="51"/>
      <c r="I26" s="51"/>
      <c r="J26" s="51"/>
      <c r="K26" s="49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</row>
    <row r="27" spans="1:24" x14ac:dyDescent="0.35">
      <c r="A27" s="49"/>
      <c r="B27" s="51"/>
      <c r="C27" s="49"/>
      <c r="D27" s="51"/>
      <c r="E27" s="51"/>
      <c r="F27" s="51"/>
      <c r="G27" s="51"/>
      <c r="H27" s="51"/>
      <c r="I27" s="51"/>
      <c r="J27" s="51"/>
      <c r="K27" s="49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</row>
    <row r="28" spans="1:24" x14ac:dyDescent="0.35">
      <c r="A28" s="49"/>
      <c r="B28" s="51"/>
      <c r="C28" s="49"/>
      <c r="D28" s="51"/>
      <c r="E28" s="51"/>
      <c r="F28" s="51"/>
      <c r="G28" s="51"/>
      <c r="H28" s="51"/>
      <c r="I28" s="51"/>
      <c r="J28" s="51"/>
      <c r="K28" s="49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</row>
    <row r="29" spans="1:24" x14ac:dyDescent="0.35">
      <c r="A29" s="49"/>
      <c r="B29" s="51"/>
      <c r="C29" s="51"/>
      <c r="D29" s="51"/>
      <c r="E29" s="51"/>
      <c r="F29" s="51"/>
      <c r="G29" s="51"/>
      <c r="H29" s="51"/>
      <c r="I29" s="51"/>
      <c r="J29" s="51"/>
      <c r="K29" s="49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</row>
    <row r="30" spans="1:24" x14ac:dyDescent="0.35">
      <c r="A30" s="49"/>
      <c r="B30" s="51"/>
      <c r="C30" s="51"/>
      <c r="D30" s="51"/>
      <c r="E30" s="51"/>
      <c r="F30" s="51"/>
      <c r="G30" s="51"/>
      <c r="H30" s="51"/>
      <c r="I30" s="51"/>
      <c r="J30" s="51"/>
      <c r="K30" s="49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</row>
    <row r="31" spans="1:24" x14ac:dyDescent="0.35">
      <c r="A31" s="49"/>
      <c r="B31" s="51"/>
      <c r="C31" s="51"/>
      <c r="D31" s="51"/>
      <c r="E31" s="51"/>
      <c r="F31" s="51"/>
      <c r="G31" s="51"/>
      <c r="H31" s="51"/>
      <c r="I31" s="51"/>
      <c r="J31" s="51"/>
      <c r="K31" s="49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</row>
    <row r="32" spans="1:24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49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</row>
    <row r="33" spans="1:24" x14ac:dyDescent="0.35">
      <c r="A33" s="49"/>
      <c r="B33" s="51"/>
      <c r="C33" s="51"/>
      <c r="D33" s="51"/>
      <c r="E33" s="51"/>
      <c r="F33" s="51"/>
      <c r="G33" s="51"/>
      <c r="H33" s="51"/>
      <c r="I33" s="51"/>
      <c r="J33" s="51"/>
      <c r="K33" s="49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</row>
    <row r="34" spans="1:24" x14ac:dyDescent="0.35">
      <c r="A34" s="49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</row>
    <row r="35" spans="1:24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</row>
    <row r="36" spans="1:24" x14ac:dyDescent="0.35">
      <c r="A36" s="49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</row>
    <row r="37" spans="1:24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</row>
    <row r="38" spans="1:24" x14ac:dyDescent="0.35">
      <c r="A38" s="49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</row>
    <row r="39" spans="1:24" x14ac:dyDescent="0.35">
      <c r="A39" s="49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</row>
    <row r="40" spans="1:24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</row>
    <row r="41" spans="1:24" x14ac:dyDescent="0.35">
      <c r="A41" s="49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</row>
    <row r="42" spans="1:24" x14ac:dyDescent="0.35">
      <c r="A42" s="49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</row>
    <row r="43" spans="1:24" x14ac:dyDescent="0.35">
      <c r="A43" s="49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</row>
    <row r="44" spans="1:24" x14ac:dyDescent="0.35">
      <c r="A44" s="49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</row>
    <row r="45" spans="1:24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</row>
    <row r="46" spans="1:24" x14ac:dyDescent="0.35">
      <c r="A46" s="49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</row>
    <row r="47" spans="1:24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</row>
    <row r="48" spans="1:24" ht="105.5" customHeight="1" x14ac:dyDescent="0.35">
      <c r="A48" s="49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</row>
    <row r="49" s="50" customFormat="1" hidden="1" x14ac:dyDescent="0.35"/>
    <row r="50" s="50" customFormat="1" hidden="1" x14ac:dyDescent="0.35"/>
    <row r="51" s="50" customFormat="1" hidden="1" x14ac:dyDescent="0.35"/>
    <row r="52" s="50" customFormat="1" hidden="1" x14ac:dyDescent="0.35"/>
    <row r="53" s="50" customFormat="1" hidden="1" x14ac:dyDescent="0.35"/>
    <row r="54" s="50" customFormat="1" hidden="1" x14ac:dyDescent="0.35"/>
    <row r="55" s="50" customFormat="1" hidden="1" x14ac:dyDescent="0.35"/>
    <row r="56" s="50" customFormat="1" hidden="1" x14ac:dyDescent="0.35"/>
    <row r="57" s="50" customFormat="1" hidden="1" x14ac:dyDescent="0.35"/>
    <row r="58" s="50" customFormat="1" hidden="1" x14ac:dyDescent="0.35"/>
    <row r="59" s="50" customFormat="1" hidden="1" x14ac:dyDescent="0.35"/>
    <row r="60" s="50" customFormat="1" hidden="1" x14ac:dyDescent="0.35"/>
    <row r="61" s="50" customFormat="1" hidden="1" x14ac:dyDescent="0.35"/>
    <row r="62" s="50" customFormat="1" hidden="1" x14ac:dyDescent="0.35"/>
    <row r="63" s="50" customFormat="1" hidden="1" x14ac:dyDescent="0.35"/>
    <row r="64" s="50" customFormat="1" hidden="1" x14ac:dyDescent="0.35"/>
    <row r="65" s="50" customFormat="1" hidden="1" x14ac:dyDescent="0.35"/>
    <row r="66" s="50" customFormat="1" hidden="1" x14ac:dyDescent="0.35"/>
    <row r="67" s="50" customFormat="1" hidden="1" x14ac:dyDescent="0.35"/>
    <row r="68" s="50" customFormat="1" hidden="1" x14ac:dyDescent="0.35"/>
    <row r="69" s="50" customFormat="1" hidden="1" x14ac:dyDescent="0.35"/>
    <row r="70" s="50" customFormat="1" hidden="1" x14ac:dyDescent="0.35"/>
    <row r="71" s="50" customFormat="1" hidden="1" x14ac:dyDescent="0.35"/>
    <row r="72" s="50" customFormat="1" hidden="1" x14ac:dyDescent="0.35"/>
    <row r="73" s="50" customFormat="1" hidden="1" x14ac:dyDescent="0.35"/>
    <row r="74" s="50" customFormat="1" hidden="1" x14ac:dyDescent="0.35"/>
    <row r="75" s="50" customFormat="1" hidden="1" x14ac:dyDescent="0.35"/>
    <row r="76" s="50" customFormat="1" hidden="1" x14ac:dyDescent="0.35"/>
    <row r="77" s="50" customFormat="1" hidden="1" x14ac:dyDescent="0.35"/>
    <row r="78" s="50" customFormat="1" hidden="1" x14ac:dyDescent="0.35"/>
    <row r="79" s="50" customFormat="1" hidden="1" x14ac:dyDescent="0.35"/>
    <row r="80" s="50" customFormat="1" hidden="1" x14ac:dyDescent="0.35"/>
    <row r="81" s="50" customFormat="1" hidden="1" x14ac:dyDescent="0.35"/>
    <row r="82" s="50" customFormat="1" hidden="1" x14ac:dyDescent="0.35"/>
    <row r="83" s="50" customFormat="1" hidden="1" x14ac:dyDescent="0.35"/>
    <row r="84" s="50" customFormat="1" hidden="1" x14ac:dyDescent="0.35"/>
    <row r="85" s="50" customFormat="1" hidden="1" x14ac:dyDescent="0.35"/>
    <row r="86" s="50" customFormat="1" hidden="1" x14ac:dyDescent="0.35"/>
    <row r="87" s="50" customFormat="1" hidden="1" x14ac:dyDescent="0.35"/>
    <row r="88" s="50" customFormat="1" hidden="1" x14ac:dyDescent="0.35"/>
    <row r="89" s="50" customFormat="1" hidden="1" x14ac:dyDescent="0.35"/>
    <row r="90" s="50" customFormat="1" hidden="1" x14ac:dyDescent="0.35"/>
    <row r="91" s="50" customFormat="1" hidden="1" x14ac:dyDescent="0.35"/>
    <row r="92" s="50" customFormat="1" hidden="1" x14ac:dyDescent="0.35"/>
    <row r="93" s="50" customFormat="1" hidden="1" x14ac:dyDescent="0.35"/>
    <row r="94" s="50" customFormat="1" hidden="1" x14ac:dyDescent="0.35"/>
    <row r="95" s="50" customFormat="1" hidden="1" x14ac:dyDescent="0.35"/>
    <row r="96" s="50" customFormat="1" hidden="1" x14ac:dyDescent="0.35"/>
    <row r="97" s="50" customFormat="1" hidden="1" x14ac:dyDescent="0.35"/>
    <row r="98" s="50" customFormat="1" hidden="1" x14ac:dyDescent="0.35"/>
    <row r="99" s="50" customFormat="1" hidden="1" x14ac:dyDescent="0.35"/>
    <row r="100" s="50" customFormat="1" hidden="1" x14ac:dyDescent="0.35"/>
    <row r="101" s="50" customFormat="1" hidden="1" x14ac:dyDescent="0.35"/>
    <row r="102" s="50" customFormat="1" hidden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EA6A-E7DA-4E98-BA35-60D1839E8750}">
  <sheetPr codeName="sh_funcionarios"/>
  <dimension ref="B5:O9"/>
  <sheetViews>
    <sheetView zoomScaleNormal="100" workbookViewId="0">
      <selection activeCell="L2" sqref="L2"/>
    </sheetView>
  </sheetViews>
  <sheetFormatPr defaultColWidth="10.90625" defaultRowHeight="15.5" x14ac:dyDescent="0.35"/>
  <cols>
    <col min="1" max="1" width="4.1796875" style="43" customWidth="1"/>
    <col min="2" max="2" width="7.6328125" style="43" customWidth="1"/>
    <col min="3" max="3" width="20.26953125" style="43" bestFit="1" customWidth="1"/>
    <col min="4" max="4" width="11.6328125" style="43" bestFit="1" customWidth="1"/>
    <col min="5" max="5" width="9.36328125" style="43" bestFit="1" customWidth="1"/>
    <col min="6" max="6" width="6.54296875" style="43" bestFit="1" customWidth="1"/>
    <col min="7" max="7" width="8.81640625" style="43" bestFit="1" customWidth="1"/>
    <col min="8" max="8" width="6.08984375" style="43" bestFit="1" customWidth="1"/>
    <col min="9" max="9" width="4.1796875" style="43" bestFit="1" customWidth="1"/>
    <col min="10" max="10" width="19.6328125" style="43" bestFit="1" customWidth="1"/>
    <col min="11" max="11" width="34.453125" style="43" bestFit="1" customWidth="1"/>
    <col min="12" max="12" width="22.81640625" style="43" bestFit="1" customWidth="1"/>
    <col min="13" max="13" width="37.81640625" style="43" bestFit="1" customWidth="1"/>
    <col min="14" max="14" width="16.7265625" style="43" bestFit="1" customWidth="1"/>
    <col min="15" max="15" width="16.26953125" style="43" bestFit="1" customWidth="1"/>
    <col min="16" max="16384" width="10.90625" style="43"/>
  </cols>
  <sheetData>
    <row r="5" spans="2:15" ht="45" customHeight="1" x14ac:dyDescent="0.35">
      <c r="B5" s="26" t="s">
        <v>148</v>
      </c>
      <c r="C5" s="26" t="s">
        <v>208</v>
      </c>
      <c r="D5" s="27" t="s">
        <v>191</v>
      </c>
      <c r="E5" s="27" t="s">
        <v>56</v>
      </c>
      <c r="F5" s="27" t="s">
        <v>142</v>
      </c>
      <c r="G5" s="27" t="s">
        <v>55</v>
      </c>
      <c r="H5" s="27" t="s">
        <v>204</v>
      </c>
      <c r="I5" s="27" t="s">
        <v>57</v>
      </c>
      <c r="J5" s="27" t="s">
        <v>205</v>
      </c>
      <c r="K5" s="27" t="s">
        <v>206</v>
      </c>
      <c r="L5" s="27" t="s">
        <v>207</v>
      </c>
      <c r="M5" s="27" t="s">
        <v>209</v>
      </c>
      <c r="N5" s="27" t="s">
        <v>210</v>
      </c>
      <c r="O5" s="27" t="s">
        <v>145</v>
      </c>
    </row>
    <row r="6" spans="2:15" x14ac:dyDescent="0.35">
      <c r="B6" s="44">
        <v>3</v>
      </c>
      <c r="C6" s="68" t="s">
        <v>53</v>
      </c>
      <c r="D6" s="44" t="s">
        <v>236</v>
      </c>
      <c r="E6" s="44" t="s">
        <v>237</v>
      </c>
      <c r="F6" s="44" t="s">
        <v>65</v>
      </c>
      <c r="G6" s="44" t="s">
        <v>149</v>
      </c>
      <c r="H6" s="44" t="s">
        <v>53</v>
      </c>
      <c r="I6" s="69" t="s">
        <v>238</v>
      </c>
      <c r="J6" s="69" t="s">
        <v>239</v>
      </c>
      <c r="K6" s="69" t="s">
        <v>240</v>
      </c>
      <c r="L6" s="70">
        <v>0</v>
      </c>
      <c r="M6" s="69" t="b">
        <v>1</v>
      </c>
      <c r="N6" s="71">
        <v>45942</v>
      </c>
      <c r="O6" s="72" t="s">
        <v>145</v>
      </c>
    </row>
    <row r="7" spans="2:15" x14ac:dyDescent="0.35">
      <c r="B7" s="46">
        <v>8</v>
      </c>
      <c r="C7" s="46" t="s">
        <v>53</v>
      </c>
      <c r="D7" s="46" t="s">
        <v>241</v>
      </c>
      <c r="E7" s="46" t="s">
        <v>242</v>
      </c>
      <c r="F7" s="46"/>
      <c r="G7" s="46" t="s">
        <v>243</v>
      </c>
      <c r="H7" s="46" t="s">
        <v>211</v>
      </c>
      <c r="I7" s="73" t="s">
        <v>244</v>
      </c>
      <c r="J7" s="73" t="s">
        <v>245</v>
      </c>
      <c r="K7" s="73" t="s">
        <v>246</v>
      </c>
      <c r="L7" s="48">
        <v>5000</v>
      </c>
      <c r="M7" s="73" t="b">
        <v>1</v>
      </c>
      <c r="N7" s="62">
        <v>45942.420397766204</v>
      </c>
      <c r="O7" s="72" t="s">
        <v>145</v>
      </c>
    </row>
    <row r="8" spans="2:15" x14ac:dyDescent="0.35">
      <c r="B8" s="46">
        <v>11</v>
      </c>
      <c r="C8" s="46" t="s">
        <v>191</v>
      </c>
      <c r="D8" s="46" t="s">
        <v>247</v>
      </c>
      <c r="E8" s="46" t="s">
        <v>248</v>
      </c>
      <c r="F8" s="46"/>
      <c r="G8" s="46" t="s">
        <v>249</v>
      </c>
      <c r="H8" s="46" t="s">
        <v>191</v>
      </c>
      <c r="I8" s="73" t="s">
        <v>250</v>
      </c>
      <c r="J8" s="73" t="s">
        <v>251</v>
      </c>
      <c r="K8" s="73" t="s">
        <v>252</v>
      </c>
      <c r="L8" s="48">
        <v>0</v>
      </c>
      <c r="M8" s="73" t="b">
        <v>1</v>
      </c>
      <c r="N8" s="62">
        <v>45942.42245755787</v>
      </c>
      <c r="O8" s="72" t="s">
        <v>145</v>
      </c>
    </row>
    <row r="9" spans="2:15" x14ac:dyDescent="0.35">
      <c r="B9" s="47">
        <v>14</v>
      </c>
      <c r="C9" s="47" t="s">
        <v>191</v>
      </c>
      <c r="D9" s="47" t="s">
        <v>253</v>
      </c>
      <c r="E9" s="47" t="s">
        <v>254</v>
      </c>
      <c r="F9" s="47"/>
      <c r="G9" s="47" t="s">
        <v>255</v>
      </c>
      <c r="H9" s="47" t="s">
        <v>256</v>
      </c>
      <c r="I9" s="73" t="s">
        <v>257</v>
      </c>
      <c r="J9" s="73" t="s">
        <v>258</v>
      </c>
      <c r="K9" s="73" t="s">
        <v>191</v>
      </c>
      <c r="L9" s="48">
        <v>4000</v>
      </c>
      <c r="M9" s="73" t="b">
        <v>1</v>
      </c>
      <c r="N9" s="62">
        <v>45946.98827465278</v>
      </c>
      <c r="O9" s="72" t="s">
        <v>145</v>
      </c>
    </row>
  </sheetData>
  <hyperlinks>
    <hyperlink ref="O6" location="'Usuários do Sistema-Funcionário'!B6" display="Editar" xr:uid="{ABAD4063-0A4B-4C45-AC30-F10695196D82}"/>
    <hyperlink ref="O7" location="'Usuários do Sistema-Funcionário'!B7" display="Editar" xr:uid="{2F64FB16-F273-4294-AB8C-D10719CA63E6}"/>
    <hyperlink ref="O8" location="'Usuários do Sistema-Funcionário'!B8" display="Editar" xr:uid="{AE928569-C835-4AF0-BC0E-FEEF9C28FBD8}"/>
    <hyperlink ref="O9" location="'Usuários do Sistema-Funcionário'!B9" display="Editar" xr:uid="{2CA8C4D0-4F1E-48CB-83C8-0349D686EC26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497E-5B2F-464C-94C4-D8BB2410C699}">
  <sheetPr codeName="sh_clientes"/>
  <dimension ref="A5:O14"/>
  <sheetViews>
    <sheetView zoomScaleNormal="100" workbookViewId="0">
      <selection activeCell="L14" sqref="L14"/>
    </sheetView>
  </sheetViews>
  <sheetFormatPr defaultColWidth="0" defaultRowHeight="15.5" x14ac:dyDescent="0.35"/>
  <cols>
    <col min="1" max="1" width="4.36328125" style="43" customWidth="1"/>
    <col min="2" max="2" width="8.54296875" style="43" customWidth="1"/>
    <col min="3" max="3" width="30.6328125" style="43" customWidth="1"/>
    <col min="4" max="4" width="20.6328125" style="43" customWidth="1"/>
    <col min="5" max="5" width="23.08984375" style="43" customWidth="1"/>
    <col min="6" max="6" width="22.81640625" style="43" customWidth="1"/>
    <col min="7" max="7" width="19.36328125" style="43" customWidth="1"/>
    <col min="8" max="8" width="13.08984375" style="43" bestFit="1" customWidth="1"/>
    <col min="9" max="9" width="15.36328125" style="43" customWidth="1"/>
    <col min="10" max="10" width="19.36328125" style="43" customWidth="1"/>
    <col min="11" max="11" width="15.7265625" style="43" bestFit="1" customWidth="1"/>
    <col min="12" max="12" width="12.453125" style="43" bestFit="1" customWidth="1"/>
    <col min="13" max="13" width="21.08984375" style="43" bestFit="1" customWidth="1"/>
    <col min="14" max="14" width="11.7265625" style="43" customWidth="1"/>
    <col min="15" max="15" width="4.08984375" style="43" customWidth="1"/>
    <col min="16" max="16384" width="10.90625" style="50" hidden="1"/>
  </cols>
  <sheetData>
    <row r="5" spans="2:14" ht="45" customHeight="1" x14ac:dyDescent="0.35">
      <c r="B5" s="26" t="s">
        <v>148</v>
      </c>
      <c r="C5" s="27" t="s">
        <v>58</v>
      </c>
      <c r="D5" s="27" t="s">
        <v>57</v>
      </c>
      <c r="E5" s="27" t="s">
        <v>55</v>
      </c>
      <c r="F5" s="27" t="s">
        <v>142</v>
      </c>
      <c r="G5" s="27" t="s">
        <v>56</v>
      </c>
      <c r="H5" s="27" t="s">
        <v>143</v>
      </c>
      <c r="I5" s="27" t="s">
        <v>59</v>
      </c>
      <c r="J5" s="27" t="s">
        <v>60</v>
      </c>
      <c r="K5" s="27" t="s">
        <v>61</v>
      </c>
      <c r="L5" s="27" t="s">
        <v>144</v>
      </c>
      <c r="M5" s="27" t="s">
        <v>80</v>
      </c>
      <c r="N5" s="28" t="s">
        <v>145</v>
      </c>
    </row>
    <row r="6" spans="2:14" x14ac:dyDescent="0.35">
      <c r="B6" s="56">
        <v>1</v>
      </c>
      <c r="C6" s="56" t="s">
        <v>63</v>
      </c>
      <c r="D6" s="56" t="s">
        <v>146</v>
      </c>
      <c r="E6" s="56" t="s">
        <v>149</v>
      </c>
      <c r="F6" s="56" t="s">
        <v>150</v>
      </c>
      <c r="G6" s="56" t="s">
        <v>216</v>
      </c>
      <c r="H6" s="56" t="s">
        <v>217</v>
      </c>
      <c r="I6" s="56" t="s">
        <v>218</v>
      </c>
      <c r="J6" s="56" t="s">
        <v>70</v>
      </c>
      <c r="K6" s="56" t="s">
        <v>219</v>
      </c>
      <c r="L6" s="56" t="b">
        <v>1</v>
      </c>
      <c r="M6" s="57">
        <v>45940.671035729167</v>
      </c>
      <c r="N6" s="64" t="s">
        <v>145</v>
      </c>
    </row>
    <row r="7" spans="2:14" x14ac:dyDescent="0.35">
      <c r="B7" s="46">
        <v>2</v>
      </c>
      <c r="C7" s="46" t="s">
        <v>147</v>
      </c>
      <c r="D7" s="46" t="s">
        <v>151</v>
      </c>
      <c r="E7" s="46" t="s">
        <v>152</v>
      </c>
      <c r="F7" s="46" t="s">
        <v>235</v>
      </c>
      <c r="G7" s="46" t="s">
        <v>220</v>
      </c>
      <c r="H7" s="46" t="s">
        <v>153</v>
      </c>
      <c r="I7" s="46" t="s">
        <v>69</v>
      </c>
      <c r="J7" s="46" t="s">
        <v>70</v>
      </c>
      <c r="K7" s="46" t="s">
        <v>219</v>
      </c>
      <c r="L7" s="46" t="b">
        <v>0</v>
      </c>
      <c r="M7" s="58">
        <v>45940.671922453701</v>
      </c>
      <c r="N7" s="65" t="s">
        <v>145</v>
      </c>
    </row>
    <row r="8" spans="2:14" x14ac:dyDescent="0.35">
      <c r="B8" s="46">
        <v>4</v>
      </c>
      <c r="C8" s="46" t="s">
        <v>160</v>
      </c>
      <c r="D8" s="46" t="s">
        <v>154</v>
      </c>
      <c r="E8" s="46" t="s">
        <v>155</v>
      </c>
      <c r="F8" s="46"/>
      <c r="G8" s="46" t="s">
        <v>223</v>
      </c>
      <c r="H8" s="46" t="s">
        <v>156</v>
      </c>
      <c r="I8" s="46" t="s">
        <v>224</v>
      </c>
      <c r="J8" s="46" t="s">
        <v>225</v>
      </c>
      <c r="K8" s="46" t="s">
        <v>226</v>
      </c>
      <c r="L8" s="46" t="b">
        <v>1</v>
      </c>
      <c r="M8" s="58">
        <v>45940.677607789352</v>
      </c>
      <c r="N8" s="65" t="s">
        <v>145</v>
      </c>
    </row>
    <row r="9" spans="2:14" x14ac:dyDescent="0.35">
      <c r="B9" s="46">
        <v>6</v>
      </c>
      <c r="C9" s="46" t="s">
        <v>157</v>
      </c>
      <c r="D9" s="46" t="s">
        <v>158</v>
      </c>
      <c r="E9" s="46" t="s">
        <v>159</v>
      </c>
      <c r="F9" s="46"/>
      <c r="G9" s="46" t="s">
        <v>221</v>
      </c>
      <c r="H9" s="46" t="s">
        <v>222</v>
      </c>
      <c r="I9" s="46" t="s">
        <v>218</v>
      </c>
      <c r="J9" s="46" t="s">
        <v>70</v>
      </c>
      <c r="K9" s="46" t="s">
        <v>219</v>
      </c>
      <c r="L9" s="46" t="b">
        <v>1</v>
      </c>
      <c r="M9" s="58">
        <v>45940.679212268522</v>
      </c>
      <c r="N9" s="65" t="s">
        <v>145</v>
      </c>
    </row>
    <row r="10" spans="2:14" x14ac:dyDescent="0.35">
      <c r="B10" s="46">
        <v>9</v>
      </c>
      <c r="C10" s="46" t="s">
        <v>178</v>
      </c>
      <c r="D10" s="46" t="s">
        <v>179</v>
      </c>
      <c r="E10" s="46" t="s">
        <v>149</v>
      </c>
      <c r="F10" s="46"/>
      <c r="G10" s="46" t="s">
        <v>227</v>
      </c>
      <c r="H10" s="46" t="s">
        <v>228</v>
      </c>
      <c r="I10" s="46" t="s">
        <v>229</v>
      </c>
      <c r="J10" s="46" t="s">
        <v>225</v>
      </c>
      <c r="K10" s="46" t="s">
        <v>226</v>
      </c>
      <c r="L10" s="46" t="b">
        <v>1</v>
      </c>
      <c r="M10" s="58">
        <v>45941.905582488427</v>
      </c>
      <c r="N10" s="65" t="s">
        <v>145</v>
      </c>
    </row>
    <row r="11" spans="2:14" x14ac:dyDescent="0.35">
      <c r="B11" s="46">
        <v>11</v>
      </c>
      <c r="C11" s="46" t="s">
        <v>215</v>
      </c>
      <c r="D11" s="46" t="s">
        <v>180</v>
      </c>
      <c r="E11" s="46" t="s">
        <v>149</v>
      </c>
      <c r="F11" s="46"/>
      <c r="G11" s="46" t="s">
        <v>230</v>
      </c>
      <c r="H11" s="46" t="s">
        <v>231</v>
      </c>
      <c r="I11" s="46" t="s">
        <v>232</v>
      </c>
      <c r="J11" s="46" t="s">
        <v>232</v>
      </c>
      <c r="K11" s="46" t="s">
        <v>226</v>
      </c>
      <c r="L11" s="46" t="b">
        <v>1</v>
      </c>
      <c r="M11" s="58">
        <v>45941.905798958331</v>
      </c>
      <c r="N11" s="65" t="s">
        <v>145</v>
      </c>
    </row>
    <row r="12" spans="2:14" x14ac:dyDescent="0.35">
      <c r="B12" s="46">
        <v>14</v>
      </c>
      <c r="C12" s="46" t="s">
        <v>214</v>
      </c>
      <c r="D12" s="46" t="s">
        <v>181</v>
      </c>
      <c r="E12" s="46" t="s">
        <v>182</v>
      </c>
      <c r="F12" s="46"/>
      <c r="G12" s="46" t="s">
        <v>183</v>
      </c>
      <c r="H12" s="46" t="s">
        <v>183</v>
      </c>
      <c r="I12" s="46" t="s">
        <v>183</v>
      </c>
      <c r="J12" s="46" t="s">
        <v>233</v>
      </c>
      <c r="K12" s="46" t="s">
        <v>184</v>
      </c>
      <c r="L12" s="46" t="b">
        <v>0</v>
      </c>
      <c r="M12" s="58">
        <v>45941.906392326389</v>
      </c>
      <c r="N12" s="65" t="s">
        <v>145</v>
      </c>
    </row>
    <row r="13" spans="2:14" x14ac:dyDescent="0.35">
      <c r="B13" s="46">
        <v>15</v>
      </c>
      <c r="C13" s="46" t="s">
        <v>185</v>
      </c>
      <c r="D13" s="46" t="s">
        <v>188</v>
      </c>
      <c r="E13" s="46" t="s">
        <v>186</v>
      </c>
      <c r="F13" s="46" t="s">
        <v>234</v>
      </c>
      <c r="G13" s="46" t="s">
        <v>189</v>
      </c>
      <c r="H13" s="46" t="s">
        <v>187</v>
      </c>
      <c r="I13" s="46" t="s">
        <v>190</v>
      </c>
      <c r="J13" s="46" t="s">
        <v>190</v>
      </c>
      <c r="K13" s="46" t="s">
        <v>184</v>
      </c>
      <c r="L13" s="46" t="b">
        <v>1</v>
      </c>
      <c r="M13" s="58">
        <v>45941.954146215277</v>
      </c>
      <c r="N13" s="65" t="s">
        <v>145</v>
      </c>
    </row>
    <row r="14" spans="2:14" x14ac:dyDescent="0.35">
      <c r="B14" s="47">
        <v>16</v>
      </c>
      <c r="C14" s="47" t="s">
        <v>261</v>
      </c>
      <c r="D14" s="47" t="s">
        <v>259</v>
      </c>
      <c r="E14" s="47" t="s">
        <v>182</v>
      </c>
      <c r="F14" s="47"/>
      <c r="G14" s="47" t="s">
        <v>253</v>
      </c>
      <c r="H14" s="47" t="s">
        <v>183</v>
      </c>
      <c r="I14" s="47" t="s">
        <v>253</v>
      </c>
      <c r="J14" s="47" t="s">
        <v>260</v>
      </c>
      <c r="K14" s="47" t="s">
        <v>219</v>
      </c>
      <c r="L14" s="47" t="b">
        <v>0</v>
      </c>
      <c r="M14" s="59">
        <v>45947.008683333333</v>
      </c>
      <c r="N14" s="66" t="s">
        <v>145</v>
      </c>
    </row>
  </sheetData>
  <phoneticPr fontId="4" type="noConversion"/>
  <hyperlinks>
    <hyperlink ref="N6" location="'Lista de Clientes'!B6" display="Editar" xr:uid="{165BB6D1-1138-4740-853D-EBD341D5C9B4}"/>
    <hyperlink ref="N7" location="'Lista de Clientes'!B7" display="Editar" xr:uid="{8580213B-FAC4-40EF-ACFD-E0918FBE4D49}"/>
    <hyperlink ref="N8" location="'Lista de Clientes'!B8" display="Editar" xr:uid="{DEC950F8-FCAB-4034-9620-AD52AD084F7F}"/>
    <hyperlink ref="N9" location="'Lista de Clientes'!B9" display="Editar" xr:uid="{431343C3-5040-45EA-AC14-2DF31B877166}"/>
    <hyperlink ref="N10" location="'Lista de Clientes'!B10" display="Editar" xr:uid="{8F960CA9-04A1-4742-9DC7-316573A424A1}"/>
    <hyperlink ref="N11" location="'Lista de Clientes'!B11" display="Editar" xr:uid="{DDA091E5-249D-46F6-8A06-B979B6C0613B}"/>
    <hyperlink ref="N12" location="'Lista de Clientes'!B12" display="Editar" xr:uid="{639C15EF-9D59-4984-94B3-76AF5A29AD1A}"/>
    <hyperlink ref="N13" location="'Lista de Clientes'!B13" display="Editar" xr:uid="{5ECBC37F-4C2E-4882-8681-3176A69B7C7F}"/>
    <hyperlink ref="N14" location="'Lista de Clientes'!B14" display="Editar" xr:uid="{434C4CCE-ED3A-4C03-BB0C-7B11384E2498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A7DE-7150-4DC6-B85D-5983BFFBD68A}">
  <sheetPr codeName="sh_servicos"/>
  <dimension ref="A5:XFC11"/>
  <sheetViews>
    <sheetView zoomScaleNormal="100" workbookViewId="0"/>
  </sheetViews>
  <sheetFormatPr defaultColWidth="0" defaultRowHeight="15.5" x14ac:dyDescent="0.35"/>
  <cols>
    <col min="1" max="1" width="4.26953125" style="43" customWidth="1"/>
    <col min="2" max="2" width="9" style="43" customWidth="1"/>
    <col min="3" max="3" width="68.1796875" style="43" customWidth="1"/>
    <col min="4" max="4" width="79.81640625" style="43" customWidth="1"/>
    <col min="5" max="5" width="26.81640625" style="43" bestFit="1" customWidth="1"/>
    <col min="6" max="6" width="12.90625" style="43" bestFit="1" customWidth="1"/>
    <col min="7" max="7" width="17.08984375" style="43" bestFit="1" customWidth="1"/>
    <col min="8" max="8" width="20" style="43" customWidth="1"/>
    <col min="9" max="9" width="3.81640625" style="43" customWidth="1"/>
    <col min="10" max="16383" width="10.90625" style="50" hidden="1"/>
    <col min="16384" max="16384" width="8.984375E-2" style="50" customWidth="1"/>
  </cols>
  <sheetData>
    <row r="5" spans="2:8" ht="45" customHeight="1" x14ac:dyDescent="0.35">
      <c r="B5" s="26" t="s">
        <v>148</v>
      </c>
      <c r="C5" s="27" t="s">
        <v>51</v>
      </c>
      <c r="D5" s="27" t="s">
        <v>161</v>
      </c>
      <c r="E5" s="27" t="s">
        <v>212</v>
      </c>
      <c r="F5" s="27" t="s">
        <v>169</v>
      </c>
      <c r="G5" s="27" t="s">
        <v>80</v>
      </c>
      <c r="H5" s="27" t="s">
        <v>145</v>
      </c>
    </row>
    <row r="6" spans="2:8" x14ac:dyDescent="0.35">
      <c r="B6" s="56">
        <v>1</v>
      </c>
      <c r="C6" s="56" t="s">
        <v>15</v>
      </c>
      <c r="D6" s="56" t="s">
        <v>213</v>
      </c>
      <c r="E6" s="56">
        <v>1000</v>
      </c>
      <c r="F6" s="56" t="b">
        <v>1</v>
      </c>
      <c r="G6" s="57">
        <v>45940.895139548615</v>
      </c>
      <c r="H6" s="67" t="s">
        <v>145</v>
      </c>
    </row>
    <row r="7" spans="2:8" x14ac:dyDescent="0.35">
      <c r="B7" s="46">
        <v>2</v>
      </c>
      <c r="C7" s="46" t="s">
        <v>172</v>
      </c>
      <c r="D7" s="46" t="s">
        <v>173</v>
      </c>
      <c r="E7" s="46">
        <v>0</v>
      </c>
      <c r="F7" s="46" t="b">
        <v>1</v>
      </c>
      <c r="G7" s="58">
        <v>45940.922356747687</v>
      </c>
      <c r="H7" s="67" t="s">
        <v>145</v>
      </c>
    </row>
    <row r="8" spans="2:8" x14ac:dyDescent="0.35">
      <c r="B8" s="46">
        <v>3</v>
      </c>
      <c r="C8" s="46" t="s">
        <v>172</v>
      </c>
      <c r="D8" s="46" t="s">
        <v>174</v>
      </c>
      <c r="E8" s="46">
        <v>0</v>
      </c>
      <c r="F8" s="46" t="b">
        <v>1</v>
      </c>
      <c r="G8" s="58">
        <v>45940.923332256942</v>
      </c>
      <c r="H8" s="67" t="s">
        <v>145</v>
      </c>
    </row>
    <row r="9" spans="2:8" x14ac:dyDescent="0.35">
      <c r="B9" s="46">
        <v>4</v>
      </c>
      <c r="C9" s="46" t="s">
        <v>175</v>
      </c>
      <c r="D9" s="46" t="s">
        <v>176</v>
      </c>
      <c r="E9" s="46">
        <v>0</v>
      </c>
      <c r="F9" s="46" t="b">
        <v>1</v>
      </c>
      <c r="G9" s="58">
        <v>45940.931459224536</v>
      </c>
      <c r="H9" s="67" t="s">
        <v>145</v>
      </c>
    </row>
    <row r="10" spans="2:8" x14ac:dyDescent="0.35">
      <c r="B10" s="46">
        <v>5</v>
      </c>
      <c r="C10" s="46" t="s">
        <v>177</v>
      </c>
      <c r="D10" s="46" t="s">
        <v>170</v>
      </c>
      <c r="E10" s="46">
        <v>0</v>
      </c>
      <c r="F10" s="46" t="b">
        <v>1</v>
      </c>
      <c r="G10" s="58">
        <v>45940.932001932873</v>
      </c>
      <c r="H10" s="67" t="s">
        <v>145</v>
      </c>
    </row>
    <row r="11" spans="2:8" x14ac:dyDescent="0.35">
      <c r="B11" s="47">
        <v>6</v>
      </c>
      <c r="C11" s="47" t="s">
        <v>177</v>
      </c>
      <c r="D11" s="47" t="s">
        <v>171</v>
      </c>
      <c r="E11" s="47">
        <v>0</v>
      </c>
      <c r="F11" s="47" t="b">
        <v>1</v>
      </c>
      <c r="G11" s="59">
        <v>45940.932147071762</v>
      </c>
      <c r="H11" s="67" t="s">
        <v>145</v>
      </c>
    </row>
  </sheetData>
  <phoneticPr fontId="4" type="noConversion"/>
  <hyperlinks>
    <hyperlink ref="H6" location="'Serviços'!B6" display="Editar" xr:uid="{D1F37895-1BD1-4904-B005-73FAF863AED4}"/>
    <hyperlink ref="H7" location="'Serviços'!B7" display="Editar" xr:uid="{1F36337F-9DCF-488E-9A3D-03EF57CA4B82}"/>
    <hyperlink ref="H8" location="'Serviços'!B8" display="Editar" xr:uid="{0F50E585-A83B-4A4C-A311-8036045D3FEB}"/>
    <hyperlink ref="H9" location="'Serviços'!B9" display="Editar" xr:uid="{BC36DF2F-99D8-48E2-930B-35B20772CE01}"/>
    <hyperlink ref="H10" location="'Serviços'!B10" display="Editar" xr:uid="{102423DE-93C4-4F54-8F9B-B48B3CDC6C6E}"/>
    <hyperlink ref="H11" location="'Serviços'!B11" display="Editar" xr:uid="{54871FE6-BECA-4FBE-9AC7-664E8C025F46}"/>
  </hyperlink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A5D85-D052-4BC1-9AE6-0A011C7F2D79}">
  <sheetPr codeName="sh_fornecedor"/>
  <dimension ref="B7:P26"/>
  <sheetViews>
    <sheetView zoomScaleNormal="100" workbookViewId="0"/>
  </sheetViews>
  <sheetFormatPr defaultColWidth="10.90625" defaultRowHeight="15.5" x14ac:dyDescent="0.35"/>
  <cols>
    <col min="1" max="1" width="3.1796875" style="43" customWidth="1"/>
    <col min="2" max="2" width="16.1796875" style="43" bestFit="1" customWidth="1"/>
    <col min="3" max="3" width="20.36328125" style="43" bestFit="1" customWidth="1"/>
    <col min="4" max="4" width="23.81640625" style="43" bestFit="1" customWidth="1"/>
    <col min="5" max="5" width="16.90625" style="43" bestFit="1" customWidth="1"/>
    <col min="6" max="6" width="11.6328125" style="43" bestFit="1" customWidth="1"/>
    <col min="7" max="7" width="11.1796875" style="43" bestFit="1" customWidth="1"/>
    <col min="8" max="8" width="9.08984375" style="43" bestFit="1" customWidth="1"/>
    <col min="9" max="9" width="9.26953125" style="43" bestFit="1" customWidth="1"/>
    <col min="10" max="10" width="10.7265625" style="43" bestFit="1" customWidth="1"/>
    <col min="11" max="11" width="8.1796875" style="43" bestFit="1" customWidth="1"/>
    <col min="12" max="12" width="6.36328125" style="43" bestFit="1" customWidth="1"/>
    <col min="13" max="13" width="26.54296875" style="43" bestFit="1" customWidth="1"/>
    <col min="14" max="14" width="16.36328125" style="43" bestFit="1" customWidth="1"/>
    <col min="15" max="15" width="16.26953125" style="43" bestFit="1" customWidth="1"/>
    <col min="16" max="16384" width="10.90625" style="43"/>
  </cols>
  <sheetData>
    <row r="7" spans="2:16" ht="45" customHeight="1" x14ac:dyDescent="0.35">
      <c r="B7" s="26" t="s">
        <v>148</v>
      </c>
      <c r="C7" s="27" t="s">
        <v>191</v>
      </c>
      <c r="D7" s="27" t="s">
        <v>198</v>
      </c>
      <c r="E7" s="27" t="s">
        <v>199</v>
      </c>
      <c r="F7" s="27" t="s">
        <v>56</v>
      </c>
      <c r="G7" s="27" t="s">
        <v>59</v>
      </c>
      <c r="H7" s="27" t="s">
        <v>60</v>
      </c>
      <c r="I7" s="27" t="s">
        <v>200</v>
      </c>
      <c r="J7" s="27" t="s">
        <v>55</v>
      </c>
      <c r="K7" s="27" t="s">
        <v>62</v>
      </c>
      <c r="L7" s="27" t="s">
        <v>201</v>
      </c>
      <c r="M7" s="27" t="s">
        <v>202</v>
      </c>
      <c r="N7" s="27" t="s">
        <v>203</v>
      </c>
      <c r="O7" s="27" t="s">
        <v>210</v>
      </c>
      <c r="P7" s="27" t="s">
        <v>145</v>
      </c>
    </row>
    <row r="8" spans="2:16" x14ac:dyDescent="0.35">
      <c r="B8" s="56">
        <v>1</v>
      </c>
      <c r="C8" s="56" t="s">
        <v>15</v>
      </c>
      <c r="D8" s="56" t="s">
        <v>15</v>
      </c>
      <c r="E8" s="56">
        <v>500</v>
      </c>
      <c r="F8" s="56" t="b">
        <v>1</v>
      </c>
      <c r="G8" s="57">
        <v>45940.895139548615</v>
      </c>
      <c r="H8" s="45"/>
      <c r="I8" s="45"/>
      <c r="J8" s="45"/>
      <c r="K8" s="45"/>
      <c r="L8" s="45"/>
      <c r="M8" s="45"/>
      <c r="N8" s="45"/>
      <c r="O8" s="45"/>
      <c r="P8" s="60" t="s">
        <v>145</v>
      </c>
    </row>
    <row r="9" spans="2:16" x14ac:dyDescent="0.35">
      <c r="B9" s="46">
        <v>2</v>
      </c>
      <c r="C9" s="46" t="s">
        <v>172</v>
      </c>
      <c r="D9" s="46" t="s">
        <v>173</v>
      </c>
      <c r="E9" s="46">
        <v>0</v>
      </c>
      <c r="F9" s="46" t="b">
        <v>1</v>
      </c>
      <c r="G9" s="58">
        <v>45940.922356747687</v>
      </c>
      <c r="H9" s="59"/>
      <c r="I9" s="59"/>
      <c r="J9" s="59"/>
      <c r="K9" s="59"/>
      <c r="L9" s="59"/>
      <c r="M9" s="59"/>
      <c r="N9" s="59"/>
      <c r="O9" s="59"/>
      <c r="P9" s="60" t="s">
        <v>145</v>
      </c>
    </row>
    <row r="10" spans="2:16" x14ac:dyDescent="0.35">
      <c r="B10" s="46">
        <v>3</v>
      </c>
      <c r="C10" s="46" t="s">
        <v>172</v>
      </c>
      <c r="D10" s="46" t="s">
        <v>174</v>
      </c>
      <c r="E10" s="46">
        <v>0</v>
      </c>
      <c r="F10" s="46" t="b">
        <v>1</v>
      </c>
      <c r="G10" s="58">
        <v>45940.923332256942</v>
      </c>
      <c r="H10" s="62"/>
      <c r="I10" s="62"/>
      <c r="J10" s="62"/>
      <c r="K10" s="62"/>
      <c r="L10" s="62"/>
      <c r="M10" s="62"/>
      <c r="N10" s="62"/>
      <c r="O10" s="62"/>
      <c r="P10" s="61" t="s">
        <v>145</v>
      </c>
    </row>
    <row r="11" spans="2:16" x14ac:dyDescent="0.35">
      <c r="B11" s="46">
        <v>4</v>
      </c>
      <c r="C11" s="46" t="s">
        <v>175</v>
      </c>
      <c r="D11" s="46" t="s">
        <v>176</v>
      </c>
      <c r="E11" s="46">
        <v>0</v>
      </c>
      <c r="F11" s="46" t="b">
        <v>1</v>
      </c>
      <c r="G11" s="58">
        <v>45940.931459224536</v>
      </c>
      <c r="H11" s="62"/>
      <c r="I11" s="62"/>
      <c r="J11" s="62"/>
      <c r="K11" s="62"/>
      <c r="L11" s="62"/>
      <c r="M11" s="62"/>
      <c r="N11" s="62"/>
      <c r="O11" s="62"/>
      <c r="P11" s="61" t="s">
        <v>145</v>
      </c>
    </row>
    <row r="12" spans="2:16" x14ac:dyDescent="0.35">
      <c r="B12" s="46">
        <v>5</v>
      </c>
      <c r="C12" s="46" t="s">
        <v>177</v>
      </c>
      <c r="D12" s="46" t="s">
        <v>170</v>
      </c>
      <c r="E12" s="46">
        <v>0</v>
      </c>
      <c r="F12" s="46" t="b">
        <v>1</v>
      </c>
      <c r="G12" s="58">
        <v>45940.932001932873</v>
      </c>
      <c r="H12" s="62"/>
      <c r="I12" s="62"/>
      <c r="J12" s="62"/>
      <c r="K12" s="62"/>
      <c r="L12" s="62"/>
      <c r="M12" s="62"/>
      <c r="N12" s="62"/>
      <c r="O12" s="62"/>
      <c r="P12" s="61" t="s">
        <v>145</v>
      </c>
    </row>
    <row r="13" spans="2:16" x14ac:dyDescent="0.35">
      <c r="B13" s="46">
        <v>6</v>
      </c>
      <c r="C13" s="46" t="s">
        <v>177</v>
      </c>
      <c r="D13" s="46" t="s">
        <v>171</v>
      </c>
      <c r="E13" s="46">
        <v>0</v>
      </c>
      <c r="F13" s="46" t="b">
        <v>1</v>
      </c>
      <c r="G13" s="58">
        <v>45940.932147071762</v>
      </c>
      <c r="H13" s="62"/>
      <c r="I13" s="62"/>
      <c r="J13" s="62"/>
      <c r="K13" s="62"/>
      <c r="L13" s="62"/>
      <c r="M13" s="62"/>
      <c r="N13" s="62"/>
      <c r="O13" s="62"/>
      <c r="P13" s="61" t="s">
        <v>145</v>
      </c>
    </row>
    <row r="24" spans="2:13" x14ac:dyDescent="0.35">
      <c r="B24" s="50" t="s">
        <v>119</v>
      </c>
      <c r="C24" s="50" t="s">
        <v>115</v>
      </c>
      <c r="D24" s="50" t="s">
        <v>123</v>
      </c>
      <c r="E24" s="50" t="s">
        <v>124</v>
      </c>
      <c r="F24" s="50" t="s">
        <v>3</v>
      </c>
      <c r="G24" s="50" t="s">
        <v>120</v>
      </c>
      <c r="H24" s="50" t="s">
        <v>121</v>
      </c>
      <c r="I24" s="50" t="s">
        <v>122</v>
      </c>
      <c r="J24" s="50" t="s">
        <v>1</v>
      </c>
      <c r="K24" s="50" t="s">
        <v>2</v>
      </c>
      <c r="L24" s="50" t="s">
        <v>125</v>
      </c>
      <c r="M24" s="50" t="s">
        <v>126</v>
      </c>
    </row>
    <row r="25" spans="2:13" x14ac:dyDescent="0.35">
      <c r="B25" s="50">
        <v>1</v>
      </c>
      <c r="C25" s="50" t="s">
        <v>129</v>
      </c>
      <c r="D25" s="50">
        <v>1</v>
      </c>
      <c r="E25" s="50" t="s">
        <v>131</v>
      </c>
      <c r="F25" s="50" t="s">
        <v>133</v>
      </c>
      <c r="G25" s="50" t="s">
        <v>120</v>
      </c>
      <c r="H25" s="50" t="s">
        <v>121</v>
      </c>
      <c r="I25" s="50" t="s">
        <v>122</v>
      </c>
      <c r="J25" s="50" t="s">
        <v>1</v>
      </c>
      <c r="K25" s="50" t="s">
        <v>2</v>
      </c>
      <c r="L25" s="50" t="s">
        <v>125</v>
      </c>
      <c r="M25" s="50" t="s">
        <v>126</v>
      </c>
    </row>
    <row r="26" spans="2:13" x14ac:dyDescent="0.35">
      <c r="B26" s="50">
        <v>2</v>
      </c>
      <c r="C26" s="50" t="s">
        <v>130</v>
      </c>
      <c r="D26" s="50">
        <v>2</v>
      </c>
      <c r="E26" s="50" t="s">
        <v>132</v>
      </c>
      <c r="F26" s="50" t="s">
        <v>134</v>
      </c>
      <c r="G26" s="50" t="s">
        <v>139</v>
      </c>
      <c r="H26" s="50" t="s">
        <v>135</v>
      </c>
      <c r="I26" s="50" t="s">
        <v>136</v>
      </c>
      <c r="J26" s="50" t="s">
        <v>137</v>
      </c>
      <c r="K26" s="50" t="s">
        <v>138</v>
      </c>
      <c r="L26" s="50" t="s">
        <v>132</v>
      </c>
      <c r="M26" s="50" t="s">
        <v>137</v>
      </c>
    </row>
  </sheetData>
  <hyperlinks>
    <hyperlink ref="P13" location="'Serviços'!B13" display="Editar" xr:uid="{5914E803-AE8D-4DA9-B7C8-7669FD57C550}"/>
    <hyperlink ref="P12" location="'Serviços'!B12" display="Editar" xr:uid="{8C08550D-8A38-4E11-8E19-F86EF54E6DC2}"/>
    <hyperlink ref="P11" location="'Serviços'!B11" display="Editar" xr:uid="{58D97E0C-F192-4157-B9BC-E7D8D26A4810}"/>
    <hyperlink ref="P10" location="'Serviços'!B10" display="Editar" xr:uid="{CB007FEC-B5E6-4825-8B24-D5E77025470C}"/>
    <hyperlink ref="P9" location="'Serviços'!B9" display="Editar" xr:uid="{1126C5B1-4777-4449-AA05-B576C656E4A6}"/>
    <hyperlink ref="P8" location="'Serviços'!B8" display="Editar" xr:uid="{A73F2A69-F692-482D-9B5E-AA0CD93D4232}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7890-DED2-4884-A878-667C55D34365}">
  <sheetPr codeName="sh_materiais"/>
  <dimension ref="B7:M28"/>
  <sheetViews>
    <sheetView zoomScaleNormal="100" workbookViewId="0"/>
  </sheetViews>
  <sheetFormatPr defaultColWidth="10.90625" defaultRowHeight="15.5" x14ac:dyDescent="0.35"/>
  <cols>
    <col min="1" max="1" width="3.1796875" style="43" customWidth="1"/>
    <col min="2" max="2" width="7.6328125" style="43" customWidth="1"/>
    <col min="3" max="3" width="30.90625" style="43" customWidth="1"/>
    <col min="4" max="4" width="35.08984375" style="43" customWidth="1"/>
    <col min="5" max="5" width="16.1796875" style="43" bestFit="1" customWidth="1"/>
    <col min="6" max="6" width="17" style="43" bestFit="1" customWidth="1"/>
    <col min="7" max="7" width="13.08984375" style="43" customWidth="1"/>
    <col min="8" max="8" width="28.1796875" style="43" bestFit="1" customWidth="1"/>
    <col min="9" max="9" width="29.36328125" style="43" customWidth="1"/>
    <col min="10" max="10" width="18.7265625" style="43" bestFit="1" customWidth="1"/>
    <col min="11" max="11" width="7.6328125" style="43" bestFit="1" customWidth="1"/>
    <col min="12" max="12" width="16.26953125" style="43" bestFit="1" customWidth="1"/>
    <col min="13" max="13" width="12.08984375" style="43" customWidth="1"/>
    <col min="14" max="16384" width="10.90625" style="43"/>
  </cols>
  <sheetData>
    <row r="7" spans="2:13" ht="45" customHeight="1" x14ac:dyDescent="0.35">
      <c r="B7" s="26" t="s">
        <v>148</v>
      </c>
      <c r="C7" s="27" t="s">
        <v>191</v>
      </c>
      <c r="D7" s="27" t="s">
        <v>192</v>
      </c>
      <c r="E7" s="27" t="s">
        <v>193</v>
      </c>
      <c r="F7" s="27" t="s">
        <v>54</v>
      </c>
      <c r="G7" s="27" t="s">
        <v>194</v>
      </c>
      <c r="H7" s="27" t="s">
        <v>195</v>
      </c>
      <c r="I7" s="27" t="s">
        <v>161</v>
      </c>
      <c r="J7" s="27" t="s">
        <v>196</v>
      </c>
      <c r="K7" s="27" t="s">
        <v>197</v>
      </c>
      <c r="L7" s="27" t="s">
        <v>210</v>
      </c>
      <c r="M7" s="27" t="s">
        <v>145</v>
      </c>
    </row>
    <row r="8" spans="2:13" x14ac:dyDescent="0.35">
      <c r="B8" s="56">
        <v>1</v>
      </c>
      <c r="C8" s="56" t="s">
        <v>15</v>
      </c>
      <c r="D8" s="56" t="s">
        <v>15</v>
      </c>
      <c r="E8" s="56">
        <v>500</v>
      </c>
      <c r="F8" s="56" t="b">
        <v>1</v>
      </c>
      <c r="G8" s="57">
        <v>45940.895139548615</v>
      </c>
      <c r="H8" s="45"/>
      <c r="I8" s="45"/>
      <c r="J8" s="45"/>
      <c r="K8" s="45"/>
      <c r="L8" s="45"/>
      <c r="M8" s="60" t="s">
        <v>145</v>
      </c>
    </row>
    <row r="9" spans="2:13" x14ac:dyDescent="0.35">
      <c r="B9" s="46">
        <v>2</v>
      </c>
      <c r="C9" s="46" t="s">
        <v>172</v>
      </c>
      <c r="D9" s="46" t="s">
        <v>173</v>
      </c>
      <c r="E9" s="46">
        <v>0</v>
      </c>
      <c r="F9" s="46" t="b">
        <v>1</v>
      </c>
      <c r="G9" s="58">
        <v>45940.922356747687</v>
      </c>
      <c r="H9" s="59"/>
      <c r="I9" s="59"/>
      <c r="J9" s="59"/>
      <c r="K9" s="59"/>
      <c r="L9" s="59"/>
      <c r="M9" s="60" t="s">
        <v>145</v>
      </c>
    </row>
    <row r="10" spans="2:13" x14ac:dyDescent="0.35">
      <c r="B10" s="46">
        <v>3</v>
      </c>
      <c r="C10" s="46" t="s">
        <v>172</v>
      </c>
      <c r="D10" s="46" t="s">
        <v>174</v>
      </c>
      <c r="E10" s="46">
        <v>0</v>
      </c>
      <c r="F10" s="46" t="b">
        <v>1</v>
      </c>
      <c r="G10" s="58">
        <v>45940.923332256942</v>
      </c>
      <c r="H10" s="62"/>
      <c r="I10" s="62"/>
      <c r="J10" s="62"/>
      <c r="K10" s="62"/>
      <c r="L10" s="62"/>
      <c r="M10" s="61" t="s">
        <v>145</v>
      </c>
    </row>
    <row r="11" spans="2:13" x14ac:dyDescent="0.35">
      <c r="B11" s="46">
        <v>4</v>
      </c>
      <c r="C11" s="46" t="s">
        <v>175</v>
      </c>
      <c r="D11" s="46" t="s">
        <v>176</v>
      </c>
      <c r="E11" s="46">
        <v>0</v>
      </c>
      <c r="F11" s="46" t="b">
        <v>1</v>
      </c>
      <c r="G11" s="58">
        <v>45940.931459224536</v>
      </c>
      <c r="H11" s="62"/>
      <c r="I11" s="62"/>
      <c r="J11" s="62"/>
      <c r="K11" s="62"/>
      <c r="L11" s="62"/>
      <c r="M11" s="61" t="s">
        <v>145</v>
      </c>
    </row>
    <row r="12" spans="2:13" x14ac:dyDescent="0.35">
      <c r="B12" s="46">
        <v>5</v>
      </c>
      <c r="C12" s="46" t="s">
        <v>177</v>
      </c>
      <c r="D12" s="46" t="s">
        <v>170</v>
      </c>
      <c r="E12" s="46">
        <v>0</v>
      </c>
      <c r="F12" s="46" t="b">
        <v>1</v>
      </c>
      <c r="G12" s="58">
        <v>45940.932001932873</v>
      </c>
      <c r="H12" s="62"/>
      <c r="I12" s="62"/>
      <c r="J12" s="62"/>
      <c r="K12" s="62"/>
      <c r="L12" s="62"/>
      <c r="M12" s="61" t="s">
        <v>145</v>
      </c>
    </row>
    <row r="13" spans="2:13" x14ac:dyDescent="0.35">
      <c r="B13" s="46">
        <v>6</v>
      </c>
      <c r="C13" s="46" t="s">
        <v>177</v>
      </c>
      <c r="D13" s="46" t="s">
        <v>171</v>
      </c>
      <c r="E13" s="46">
        <v>0</v>
      </c>
      <c r="F13" s="46" t="b">
        <v>1</v>
      </c>
      <c r="G13" s="58">
        <v>45940.932147071762</v>
      </c>
      <c r="H13" s="62"/>
      <c r="I13" s="62"/>
      <c r="J13" s="62"/>
      <c r="K13" s="62"/>
      <c r="L13" s="62"/>
      <c r="M13" s="61" t="s">
        <v>145</v>
      </c>
    </row>
    <row r="22" spans="2:12" x14ac:dyDescent="0.35">
      <c r="B22" s="50" t="s">
        <v>16</v>
      </c>
      <c r="C22" s="50" t="s">
        <v>115</v>
      </c>
      <c r="D22" s="50" t="s">
        <v>118</v>
      </c>
      <c r="E22" s="50" t="s">
        <v>119</v>
      </c>
      <c r="F22" s="50" t="s">
        <v>116</v>
      </c>
      <c r="G22" s="50" t="s">
        <v>17</v>
      </c>
      <c r="H22" s="50" t="s">
        <v>117</v>
      </c>
      <c r="I22" s="50" t="s">
        <v>13</v>
      </c>
      <c r="J22" s="50" t="s">
        <v>18</v>
      </c>
      <c r="K22" s="50" t="s">
        <v>140</v>
      </c>
      <c r="L22" s="50" t="s">
        <v>141</v>
      </c>
    </row>
    <row r="23" spans="2:12" x14ac:dyDescent="0.35">
      <c r="B23" s="50">
        <v>1</v>
      </c>
      <c r="C23" s="50">
        <v>1</v>
      </c>
      <c r="D23" s="50">
        <v>1</v>
      </c>
      <c r="E23" s="50">
        <v>1</v>
      </c>
      <c r="F23" s="50" t="s">
        <v>19</v>
      </c>
      <c r="G23" s="50" t="s">
        <v>22</v>
      </c>
      <c r="H23" s="63">
        <v>100</v>
      </c>
      <c r="I23" s="50"/>
      <c r="J23" s="50">
        <v>5</v>
      </c>
      <c r="K23" s="50"/>
      <c r="L23" s="50"/>
    </row>
    <row r="24" spans="2:12" x14ac:dyDescent="0.35">
      <c r="B24" s="50">
        <v>2</v>
      </c>
      <c r="C24" s="50">
        <v>1</v>
      </c>
      <c r="D24" s="50">
        <v>1</v>
      </c>
      <c r="E24" s="50">
        <v>1</v>
      </c>
      <c r="F24" s="50" t="s">
        <v>20</v>
      </c>
      <c r="G24" s="50" t="s">
        <v>17</v>
      </c>
      <c r="H24" s="63">
        <v>2</v>
      </c>
      <c r="I24" s="50"/>
      <c r="J24" s="50">
        <v>50</v>
      </c>
      <c r="K24" s="50"/>
      <c r="L24" s="50"/>
    </row>
    <row r="25" spans="2:12" x14ac:dyDescent="0.35">
      <c r="B25" s="50">
        <v>3</v>
      </c>
      <c r="C25" s="50">
        <v>1</v>
      </c>
      <c r="D25" s="50">
        <v>2</v>
      </c>
      <c r="E25" s="50">
        <v>2</v>
      </c>
      <c r="F25" s="50" t="s">
        <v>21</v>
      </c>
      <c r="G25" s="50" t="s">
        <v>22</v>
      </c>
      <c r="H25" s="63">
        <v>90</v>
      </c>
      <c r="I25" s="50"/>
      <c r="J25" s="50">
        <v>3</v>
      </c>
      <c r="K25" s="50"/>
      <c r="L25" s="50"/>
    </row>
    <row r="26" spans="2:12" x14ac:dyDescent="0.35">
      <c r="B26" s="50">
        <v>4</v>
      </c>
      <c r="C26" s="50">
        <v>1</v>
      </c>
      <c r="D26" s="50">
        <v>3</v>
      </c>
      <c r="E26" s="50">
        <v>1</v>
      </c>
      <c r="F26" s="50" t="s">
        <v>127</v>
      </c>
      <c r="G26" s="50" t="s">
        <v>128</v>
      </c>
      <c r="H26" s="63">
        <v>180</v>
      </c>
      <c r="I26" s="50"/>
      <c r="J26" s="50">
        <v>5</v>
      </c>
      <c r="K26" s="50"/>
      <c r="L26" s="50"/>
    </row>
    <row r="27" spans="2:12" x14ac:dyDescent="0.35">
      <c r="B27" s="50">
        <v>5</v>
      </c>
      <c r="C27" s="50">
        <v>1</v>
      </c>
      <c r="D27" s="50">
        <v>3</v>
      </c>
      <c r="E27" s="50">
        <v>2</v>
      </c>
      <c r="F27" s="50" t="s">
        <v>127</v>
      </c>
      <c r="G27" s="50" t="s">
        <v>128</v>
      </c>
      <c r="H27" s="63">
        <v>200</v>
      </c>
      <c r="I27" s="50"/>
      <c r="J27" s="50">
        <v>5</v>
      </c>
      <c r="K27" s="50"/>
      <c r="L27" s="50"/>
    </row>
    <row r="28" spans="2:12" x14ac:dyDescent="0.35">
      <c r="B28" s="50">
        <v>6</v>
      </c>
      <c r="C28" s="50">
        <v>1</v>
      </c>
      <c r="D28" s="50">
        <v>2</v>
      </c>
      <c r="E28" s="50">
        <v>1</v>
      </c>
      <c r="F28" s="50" t="s">
        <v>21</v>
      </c>
      <c r="G28" s="50" t="s">
        <v>22</v>
      </c>
      <c r="H28" s="63">
        <v>150</v>
      </c>
      <c r="I28" s="50"/>
      <c r="J28" s="50">
        <v>3</v>
      </c>
      <c r="K28" s="50"/>
      <c r="L28" s="50"/>
    </row>
  </sheetData>
  <phoneticPr fontId="4" type="noConversion"/>
  <conditionalFormatting sqref="G23:G28 H26:I27">
    <cfRule type="expression" dxfId="0" priority="1">
      <formula>$F23&lt;$I23</formula>
    </cfRule>
  </conditionalFormatting>
  <hyperlinks>
    <hyperlink ref="M13" location="'Serviços'!B13" display="Editar" xr:uid="{183F06CB-8AEE-4D4D-8BDB-960E7C04F4B3}"/>
    <hyperlink ref="M12" location="'Serviços'!B12" display="Editar" xr:uid="{19F24BA8-457D-4BF1-AF67-5AF2D5E405C4}"/>
    <hyperlink ref="M11" location="'Serviços'!B11" display="Editar" xr:uid="{E19E5BBA-5550-4663-AB64-FB47B77C843B}"/>
    <hyperlink ref="M10" location="'Serviços'!B10" display="Editar" xr:uid="{C9056680-377E-4FD6-AC83-0C778D29EB22}"/>
    <hyperlink ref="M9" location="'Serviços'!B9" display="Editar" xr:uid="{6D2EE63B-7CEC-485E-A4A1-C7FC10900A94}"/>
    <hyperlink ref="M8" location="'Serviços'!B8" display="Editar" xr:uid="{AF46A7BD-A137-43B6-80B4-A20487BC1C9E}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BFB73-763D-244A-BDBB-6E8B2B0CF9FC}">
  <sheetPr codeName="sh_servicos_materias_padrao"/>
  <dimension ref="A1:F15"/>
  <sheetViews>
    <sheetView workbookViewId="0">
      <selection activeCell="E6" sqref="E6"/>
    </sheetView>
  </sheetViews>
  <sheetFormatPr defaultColWidth="10.90625" defaultRowHeight="14.5" x14ac:dyDescent="0.35"/>
  <cols>
    <col min="1" max="1" width="19" bestFit="1" customWidth="1"/>
    <col min="2" max="2" width="15.81640625" bestFit="1" customWidth="1"/>
    <col min="3" max="3" width="12.453125" bestFit="1" customWidth="1"/>
    <col min="4" max="5" width="27" customWidth="1"/>
    <col min="6" max="6" width="23.1796875" bestFit="1" customWidth="1"/>
  </cols>
  <sheetData>
    <row r="1" spans="1:6" x14ac:dyDescent="0.35">
      <c r="A1" t="s">
        <v>23</v>
      </c>
      <c r="B1" t="s">
        <v>12</v>
      </c>
      <c r="C1" t="s">
        <v>16</v>
      </c>
      <c r="D1" t="s">
        <v>24</v>
      </c>
      <c r="E1" t="s">
        <v>168</v>
      </c>
      <c r="F1" t="s">
        <v>93</v>
      </c>
    </row>
    <row r="2" spans="1:6" x14ac:dyDescent="0.35">
      <c r="A2">
        <v>1</v>
      </c>
      <c r="B2">
        <v>1</v>
      </c>
      <c r="C2">
        <v>1</v>
      </c>
      <c r="D2">
        <v>2.5</v>
      </c>
      <c r="E2" t="s">
        <v>106</v>
      </c>
      <c r="F2" s="24" t="e">
        <f>INDEX(#REF!,MATCH(tbl_Servicos_Materiais_Padrao16[[#This Row],[id_material]],#REF!,0))*tbl_Servicos_Materiais_Padrao16[[#This Row],[quantidade_padrao]]</f>
        <v>#REF!</v>
      </c>
    </row>
    <row r="3" spans="1:6" x14ac:dyDescent="0.35">
      <c r="A3">
        <v>2</v>
      </c>
      <c r="B3">
        <v>1</v>
      </c>
      <c r="C3">
        <v>2</v>
      </c>
      <c r="D3">
        <v>5</v>
      </c>
      <c r="E3" t="s">
        <v>106</v>
      </c>
      <c r="F3" s="24" t="e">
        <f>INDEX(#REF!,MATCH(tbl_Servicos_Materiais_Padrao16[[#This Row],[id_material]],#REF!,0))*tbl_Servicos_Materiais_Padrao16[[#This Row],[quantidade_padrao]]</f>
        <v>#REF!</v>
      </c>
    </row>
    <row r="4" spans="1:6" x14ac:dyDescent="0.35">
      <c r="A4">
        <v>3</v>
      </c>
      <c r="B4">
        <v>1</v>
      </c>
      <c r="C4">
        <v>3</v>
      </c>
      <c r="D4">
        <v>2</v>
      </c>
      <c r="E4" t="s">
        <v>106</v>
      </c>
      <c r="F4" s="24" t="e">
        <f>INDEX(#REF!,MATCH(tbl_Servicos_Materiais_Padrao16[[#This Row],[id_material]],#REF!,0))*tbl_Servicos_Materiais_Padrao16[[#This Row],[quantidade_padrao]]</f>
        <v>#REF!</v>
      </c>
    </row>
    <row r="5" spans="1:6" x14ac:dyDescent="0.35">
      <c r="A5">
        <v>1</v>
      </c>
      <c r="B5">
        <v>1</v>
      </c>
      <c r="C5">
        <v>4</v>
      </c>
      <c r="D5">
        <v>2.5</v>
      </c>
      <c r="E5" t="s">
        <v>106</v>
      </c>
      <c r="F5" s="24" t="e">
        <f>INDEX(#REF!,MATCH(tbl_Servicos_Materiais_Padrao16[[#This Row],[id_material]],#REF!,0))*tbl_Servicos_Materiais_Padrao16[[#This Row],[quantidade_padrao]]</f>
        <v>#REF!</v>
      </c>
    </row>
    <row r="6" spans="1:6" x14ac:dyDescent="0.35">
      <c r="A6">
        <v>2</v>
      </c>
      <c r="B6">
        <v>1</v>
      </c>
      <c r="C6">
        <v>5</v>
      </c>
      <c r="D6">
        <v>5</v>
      </c>
      <c r="E6" t="s">
        <v>106</v>
      </c>
      <c r="F6" s="24" t="e">
        <f>INDEX(#REF!,MATCH(tbl_Servicos_Materiais_Padrao16[[#This Row],[id_material]],#REF!,0))*tbl_Servicos_Materiais_Padrao16[[#This Row],[quantidade_padrao]]</f>
        <v>#REF!</v>
      </c>
    </row>
    <row r="7" spans="1:6" x14ac:dyDescent="0.35">
      <c r="A7">
        <v>3</v>
      </c>
      <c r="B7">
        <v>1</v>
      </c>
      <c r="C7">
        <v>6</v>
      </c>
      <c r="D7">
        <v>2</v>
      </c>
      <c r="E7" t="s">
        <v>106</v>
      </c>
      <c r="F7" s="24" t="e">
        <f>INDEX(#REF!,MATCH(tbl_Servicos_Materiais_Padrao16[[#This Row],[id_material]],#REF!,0))*tbl_Servicos_Materiais_Padrao16[[#This Row],[quantidade_padrao]]</f>
        <v>#REF!</v>
      </c>
    </row>
    <row r="11" spans="1:6" ht="15" thickBot="1" x14ac:dyDescent="0.4">
      <c r="A11" s="29" t="s">
        <v>107</v>
      </c>
      <c r="B11" s="32" t="s">
        <v>166</v>
      </c>
      <c r="C11" s="32" t="s">
        <v>167</v>
      </c>
      <c r="D11" s="32" t="s">
        <v>164</v>
      </c>
      <c r="E11" s="33" t="s">
        <v>165</v>
      </c>
    </row>
    <row r="12" spans="1:6" ht="15" thickTop="1" x14ac:dyDescent="0.35">
      <c r="A12" s="30">
        <v>500</v>
      </c>
      <c r="B12" s="34" t="s">
        <v>163</v>
      </c>
      <c r="C12" s="35">
        <v>1</v>
      </c>
      <c r="D12" s="34" t="e">
        <f>#REF!*#REF!</f>
        <v>#REF!</v>
      </c>
      <c r="E12" s="36" t="e">
        <f>#REF!+#REF!</f>
        <v>#REF!</v>
      </c>
    </row>
    <row r="13" spans="1:6" x14ac:dyDescent="0.35">
      <c r="A13" s="31">
        <v>300</v>
      </c>
      <c r="B13" s="37" t="s">
        <v>163</v>
      </c>
      <c r="C13" s="38">
        <v>1</v>
      </c>
      <c r="D13" s="37" t="e">
        <f>#REF!*#REF!</f>
        <v>#REF!</v>
      </c>
      <c r="E13" s="39" t="e">
        <f>#REF!+#REF!</f>
        <v>#REF!</v>
      </c>
    </row>
    <row r="14" spans="1:6" x14ac:dyDescent="0.35">
      <c r="A14" s="34"/>
      <c r="B14" s="34" t="s">
        <v>162</v>
      </c>
      <c r="C14" s="35">
        <v>1</v>
      </c>
      <c r="D14" s="34" t="e">
        <f>#REF!*#REF!</f>
        <v>#REF!</v>
      </c>
      <c r="E14" s="36" t="e">
        <f>#REF!+#REF!</f>
        <v>#REF!</v>
      </c>
    </row>
    <row r="15" spans="1:6" x14ac:dyDescent="0.35">
      <c r="A15" s="40"/>
      <c r="B15" s="40" t="s">
        <v>162</v>
      </c>
      <c r="C15" s="41">
        <v>1</v>
      </c>
      <c r="D15" s="40" t="e">
        <f>#REF!*#REF!</f>
        <v>#REF!</v>
      </c>
      <c r="E15" s="42" t="e">
        <f>#REF!+#REF!</f>
        <v>#REF!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orderm_servico"/>
  <dimension ref="B3:N42"/>
  <sheetViews>
    <sheetView zoomScale="85" zoomScaleNormal="85" workbookViewId="0">
      <pane ySplit="1" topLeftCell="A2" activePane="bottomLeft" state="frozen"/>
      <selection pane="bottomLeft" activeCell="I53" sqref="I53"/>
    </sheetView>
  </sheetViews>
  <sheetFormatPr defaultColWidth="8.81640625" defaultRowHeight="14.5" x14ac:dyDescent="0.35"/>
  <cols>
    <col min="1" max="1" width="2.81640625" style="2" customWidth="1"/>
    <col min="2" max="2" width="24.453125" style="2" customWidth="1"/>
    <col min="3" max="3" width="36.6328125" style="2" customWidth="1"/>
    <col min="4" max="4" width="11.81640625" style="2" customWidth="1"/>
    <col min="5" max="5" width="16.36328125" style="2" customWidth="1"/>
    <col min="6" max="6" width="17.36328125" style="2" bestFit="1" customWidth="1"/>
    <col min="7" max="7" width="20.6328125" style="2" bestFit="1" customWidth="1"/>
    <col min="8" max="8" width="17" style="2" bestFit="1" customWidth="1"/>
    <col min="9" max="9" width="28" style="2" bestFit="1" customWidth="1"/>
    <col min="10" max="10" width="22.6328125" style="2" bestFit="1" customWidth="1"/>
    <col min="11" max="11" width="13.453125" style="2" bestFit="1" customWidth="1"/>
    <col min="12" max="12" width="13.1796875" style="2" bestFit="1" customWidth="1"/>
    <col min="13" max="13" width="23.1796875" style="2" bestFit="1" customWidth="1"/>
    <col min="14" max="14" width="15.453125" style="2" bestFit="1" customWidth="1"/>
    <col min="15" max="16384" width="8.81640625" style="2"/>
  </cols>
  <sheetData>
    <row r="3" spans="2:8" x14ac:dyDescent="0.35">
      <c r="B3" s="2" t="s">
        <v>72</v>
      </c>
      <c r="E3" s="23"/>
      <c r="F3" s="23"/>
      <c r="G3" s="23"/>
      <c r="H3" s="23" t="s">
        <v>94</v>
      </c>
    </row>
    <row r="4" spans="2:8" x14ac:dyDescent="0.35">
      <c r="B4" s="3" t="s">
        <v>76</v>
      </c>
      <c r="C4" s="16"/>
      <c r="E4" s="23" t="s">
        <v>74</v>
      </c>
      <c r="F4" s="23"/>
      <c r="G4" s="23"/>
      <c r="H4" s="23"/>
    </row>
    <row r="6" spans="2:8" x14ac:dyDescent="0.35">
      <c r="B6" s="3" t="s">
        <v>73</v>
      </c>
      <c r="C6" s="20">
        <v>1</v>
      </c>
      <c r="D6" s="2" t="s">
        <v>86</v>
      </c>
    </row>
    <row r="7" spans="2:8" x14ac:dyDescent="0.35">
      <c r="B7" s="3" t="s">
        <v>58</v>
      </c>
      <c r="C7" s="4" t="s">
        <v>63</v>
      </c>
    </row>
    <row r="8" spans="2:8" x14ac:dyDescent="0.35">
      <c r="B8" s="3" t="s">
        <v>57</v>
      </c>
      <c r="C8" s="4" t="s">
        <v>75</v>
      </c>
      <c r="D8" s="2" t="s">
        <v>82</v>
      </c>
    </row>
    <row r="9" spans="2:8" x14ac:dyDescent="0.35">
      <c r="B9" s="3" t="s">
        <v>55</v>
      </c>
      <c r="C9" s="5" t="s">
        <v>64</v>
      </c>
      <c r="D9" s="2" t="s">
        <v>82</v>
      </c>
    </row>
    <row r="10" spans="2:8" x14ac:dyDescent="0.35">
      <c r="B10" s="3" t="s">
        <v>62</v>
      </c>
      <c r="C10" s="6" t="s">
        <v>65</v>
      </c>
      <c r="D10" s="2" t="s">
        <v>83</v>
      </c>
    </row>
    <row r="11" spans="2:8" x14ac:dyDescent="0.35">
      <c r="B11" s="3" t="s">
        <v>56</v>
      </c>
      <c r="C11" s="4" t="s">
        <v>66</v>
      </c>
    </row>
    <row r="12" spans="2:8" x14ac:dyDescent="0.35">
      <c r="B12" s="3" t="s">
        <v>67</v>
      </c>
      <c r="C12" s="4" t="s">
        <v>68</v>
      </c>
    </row>
    <row r="13" spans="2:8" x14ac:dyDescent="0.35">
      <c r="B13" s="3" t="s">
        <v>59</v>
      </c>
      <c r="C13" s="4" t="s">
        <v>69</v>
      </c>
    </row>
    <row r="14" spans="2:8" x14ac:dyDescent="0.35">
      <c r="B14" s="3" t="s">
        <v>60</v>
      </c>
      <c r="C14" s="4" t="s">
        <v>70</v>
      </c>
    </row>
    <row r="15" spans="2:8" x14ac:dyDescent="0.35">
      <c r="B15" s="3" t="s">
        <v>61</v>
      </c>
      <c r="C15" s="4" t="s">
        <v>71</v>
      </c>
    </row>
    <row r="16" spans="2:8" x14ac:dyDescent="0.35">
      <c r="B16" s="3" t="s">
        <v>81</v>
      </c>
      <c r="C16" s="4" t="s">
        <v>78</v>
      </c>
      <c r="D16" s="2" t="s">
        <v>84</v>
      </c>
    </row>
    <row r="17" spans="2:14" x14ac:dyDescent="0.35">
      <c r="B17" s="3" t="s">
        <v>80</v>
      </c>
      <c r="C17" s="7">
        <v>45658</v>
      </c>
      <c r="D17" s="2" t="s">
        <v>85</v>
      </c>
    </row>
    <row r="20" spans="2:14" x14ac:dyDescent="0.35">
      <c r="B20" s="2" t="s">
        <v>87</v>
      </c>
    </row>
    <row r="21" spans="2:14" x14ac:dyDescent="0.35">
      <c r="B21" s="11" t="s">
        <v>4</v>
      </c>
      <c r="C21" s="12" t="s">
        <v>0</v>
      </c>
      <c r="D21" s="12" t="s">
        <v>5</v>
      </c>
      <c r="E21" s="12" t="s">
        <v>6</v>
      </c>
      <c r="F21" s="12" t="s">
        <v>7</v>
      </c>
      <c r="G21" s="12" t="s">
        <v>8</v>
      </c>
      <c r="H21" s="13" t="s">
        <v>77</v>
      </c>
      <c r="I21" s="13" t="s">
        <v>79</v>
      </c>
      <c r="J21" s="13" t="s">
        <v>90</v>
      </c>
    </row>
    <row r="22" spans="2:14" x14ac:dyDescent="0.35">
      <c r="B22" s="22">
        <v>1</v>
      </c>
      <c r="C22" s="21">
        <v>1</v>
      </c>
      <c r="D22" s="8" t="s">
        <v>9</v>
      </c>
      <c r="E22" s="8" t="s">
        <v>10</v>
      </c>
      <c r="F22" s="8">
        <v>2012</v>
      </c>
      <c r="G22" s="8" t="s">
        <v>11</v>
      </c>
      <c r="H22" s="9" t="s">
        <v>78</v>
      </c>
      <c r="I22" s="10"/>
      <c r="J22" s="14" t="s">
        <v>92</v>
      </c>
    </row>
    <row r="24" spans="2:14" x14ac:dyDescent="0.35">
      <c r="J24" s="2" t="s">
        <v>110</v>
      </c>
    </row>
    <row r="25" spans="2:14" x14ac:dyDescent="0.35">
      <c r="B25" s="2" t="s">
        <v>89</v>
      </c>
      <c r="E25" s="2" t="s">
        <v>88</v>
      </c>
      <c r="H25" s="2" t="s">
        <v>101</v>
      </c>
      <c r="I25" s="2" t="s">
        <v>100</v>
      </c>
      <c r="J25" s="2" t="s">
        <v>99</v>
      </c>
      <c r="L25" s="2" t="s">
        <v>99</v>
      </c>
      <c r="N25" s="2" t="s">
        <v>110</v>
      </c>
    </row>
    <row r="26" spans="2:14" x14ac:dyDescent="0.35">
      <c r="B26" t="s">
        <v>32</v>
      </c>
      <c r="C26" t="s">
        <v>0</v>
      </c>
      <c r="D26" t="s">
        <v>4</v>
      </c>
      <c r="E26" s="18" t="s">
        <v>12</v>
      </c>
      <c r="F26" t="s">
        <v>114</v>
      </c>
      <c r="G26" t="s">
        <v>97</v>
      </c>
      <c r="H26" t="s">
        <v>33</v>
      </c>
      <c r="I26" t="s">
        <v>34</v>
      </c>
      <c r="J26" t="s">
        <v>27</v>
      </c>
      <c r="K26" t="s">
        <v>35</v>
      </c>
      <c r="L26" t="s">
        <v>36</v>
      </c>
      <c r="M26" t="s">
        <v>93</v>
      </c>
      <c r="N26" t="s">
        <v>96</v>
      </c>
    </row>
    <row r="27" spans="2:14" x14ac:dyDescent="0.35">
      <c r="B27" s="15">
        <v>1</v>
      </c>
      <c r="C27" s="19">
        <v>1</v>
      </c>
      <c r="D27" s="19">
        <v>1</v>
      </c>
      <c r="E27" s="15">
        <v>1</v>
      </c>
      <c r="F27" s="15">
        <v>1</v>
      </c>
      <c r="G27" t="s">
        <v>98</v>
      </c>
      <c r="H27" s="1">
        <v>45929</v>
      </c>
      <c r="I27"/>
      <c r="J27" s="15" t="e">
        <f>INDEX(#REF!,MATCH(tbl_Ordem_Servico14[[#This Row],[id_servico]],#REF!,0))</f>
        <v>#REF!</v>
      </c>
      <c r="K27" t="s">
        <v>37</v>
      </c>
      <c r="L27"/>
      <c r="M27" s="15" t="e">
        <f>SUM(tbl_Servicos_Materiais_Padrao[Custo de Material])</f>
        <v>#REF!</v>
      </c>
      <c r="N27" s="15" t="e">
        <f>tbl_Ordem_Servico14[[#This Row],[Custo de Material Padrão]]+tbl_Ordem_Servico14[[#This Row],[mao_obra]]</f>
        <v>#REF!</v>
      </c>
    </row>
    <row r="28" spans="2:14" x14ac:dyDescent="0.35">
      <c r="B28" s="15">
        <v>2</v>
      </c>
      <c r="C28" s="19">
        <v>1</v>
      </c>
      <c r="D28" s="19">
        <v>1</v>
      </c>
      <c r="E28" s="15">
        <v>2</v>
      </c>
      <c r="F28" s="15">
        <v>1</v>
      </c>
      <c r="G28" s="15" t="s">
        <v>98</v>
      </c>
      <c r="H28" s="1">
        <v>45929</v>
      </c>
      <c r="I28"/>
      <c r="J28" s="15" t="e">
        <f>INDEX(#REF!,MATCH(tbl_Ordem_Servico14[[#This Row],[id_servico]],#REF!,0))</f>
        <v>#REF!</v>
      </c>
      <c r="K28" s="18" t="s">
        <v>111</v>
      </c>
      <c r="L28"/>
      <c r="M28" s="15" t="e">
        <f>SUM(tbl_Servicos_Materiais_Padrao[Custo de Material])</f>
        <v>#REF!</v>
      </c>
      <c r="N28" s="15" t="e">
        <f>tbl_Ordem_Servico14[[#This Row],[Custo de Material Padrão]]+tbl_Ordem_Servico14[[#This Row],[mao_obra]]</f>
        <v>#REF!</v>
      </c>
    </row>
    <row r="29" spans="2:14" x14ac:dyDescent="0.35">
      <c r="B29" s="15"/>
      <c r="C29" s="19"/>
      <c r="D29" s="19"/>
      <c r="E29" s="15"/>
      <c r="F29" s="15"/>
      <c r="G29" s="15"/>
      <c r="J29" s="15" t="e">
        <f>INDEX(#REF!,MATCH(tbl_Ordem_Servico14[[#This Row],[id_servico]],#REF!,0))</f>
        <v>#REF!</v>
      </c>
      <c r="K29" s="23" t="s">
        <v>112</v>
      </c>
      <c r="M29" s="15" t="e">
        <f>SUM(tbl_Servicos_Materiais_Padrao[Custo de Material])</f>
        <v>#REF!</v>
      </c>
      <c r="N29" s="15" t="e">
        <f>tbl_Ordem_Servico14[[#This Row],[Custo de Material Padrão]]+tbl_Ordem_Servico14[[#This Row],[mao_obra]]</f>
        <v>#REF!</v>
      </c>
    </row>
    <row r="30" spans="2:14" x14ac:dyDescent="0.35">
      <c r="B30" s="15"/>
      <c r="C30" s="19"/>
      <c r="D30" s="19"/>
      <c r="E30" s="15"/>
      <c r="F30" s="15"/>
      <c r="G30" s="15"/>
      <c r="J30" s="15" t="e">
        <f>INDEX(#REF!,MATCH(tbl_Ordem_Servico14[[#This Row],[id_servico]],#REF!,0))</f>
        <v>#REF!</v>
      </c>
      <c r="M30" s="15" t="e">
        <f>SUM(tbl_Servicos_Materiais_Padrao[Custo de Material])</f>
        <v>#REF!</v>
      </c>
      <c r="N30" s="15" t="e">
        <f>tbl_Ordem_Servico14[[#This Row],[Custo de Material Padrão]]+tbl_Ordem_Servico14[[#This Row],[mao_obra]]</f>
        <v>#REF!</v>
      </c>
    </row>
    <row r="33" spans="2:9" x14ac:dyDescent="0.35">
      <c r="B33" s="2" t="s">
        <v>103</v>
      </c>
      <c r="G33" s="2" t="s">
        <v>108</v>
      </c>
    </row>
    <row r="34" spans="2:9" x14ac:dyDescent="0.35">
      <c r="B34" t="s">
        <v>23</v>
      </c>
      <c r="C34" s="18" t="s">
        <v>12</v>
      </c>
      <c r="D34" t="s">
        <v>16</v>
      </c>
      <c r="E34" t="s">
        <v>24</v>
      </c>
      <c r="F34" t="s">
        <v>102</v>
      </c>
      <c r="G34" t="s">
        <v>35</v>
      </c>
      <c r="H34" t="s">
        <v>105</v>
      </c>
      <c r="I34" t="s">
        <v>109</v>
      </c>
    </row>
    <row r="35" spans="2:9" x14ac:dyDescent="0.35">
      <c r="B35">
        <v>1</v>
      </c>
      <c r="C35" t="s">
        <v>100</v>
      </c>
      <c r="D35">
        <v>1</v>
      </c>
      <c r="E35">
        <v>2.5</v>
      </c>
      <c r="F35" s="15" t="e">
        <f>INDEX(#REF!,MATCH(tbl_Servicos_Materiais_Padrao[[#This Row],[id_material]],#REF!,0))*tbl_Servicos_Materiais_Padrao[[#This Row],[quantidade_padrao]]</f>
        <v>#REF!</v>
      </c>
      <c r="G35" t="s">
        <v>104</v>
      </c>
      <c r="H35" s="15" t="s">
        <v>106</v>
      </c>
      <c r="I35" t="s">
        <v>91</v>
      </c>
    </row>
    <row r="36" spans="2:9" x14ac:dyDescent="0.35">
      <c r="B36">
        <v>2</v>
      </c>
      <c r="C36">
        <v>1</v>
      </c>
      <c r="D36">
        <v>2</v>
      </c>
      <c r="E36">
        <v>5</v>
      </c>
      <c r="F36" s="15" t="e">
        <f>INDEX(#REF!,MATCH(tbl_Servicos_Materiais_Padrao[[#This Row],[id_material]],#REF!,0))*tbl_Servicos_Materiais_Padrao[[#This Row],[quantidade_padrao]]</f>
        <v>#REF!</v>
      </c>
      <c r="G36"/>
      <c r="H36" s="15" t="s">
        <v>106</v>
      </c>
      <c r="I36" t="s">
        <v>91</v>
      </c>
    </row>
    <row r="37" spans="2:9" x14ac:dyDescent="0.35">
      <c r="B37">
        <v>3</v>
      </c>
      <c r="C37">
        <v>1</v>
      </c>
      <c r="D37">
        <v>3</v>
      </c>
      <c r="E37">
        <v>2</v>
      </c>
      <c r="F37" s="15" t="e">
        <f>INDEX(#REF!,MATCH(tbl_Servicos_Materiais_Padrao[[#This Row],[id_material]],#REF!,0))*tbl_Servicos_Materiais_Padrao[[#This Row],[quantidade_padrao]]</f>
        <v>#REF!</v>
      </c>
      <c r="G37"/>
      <c r="H37" s="15" t="s">
        <v>106</v>
      </c>
      <c r="I37" t="s">
        <v>91</v>
      </c>
    </row>
    <row r="40" spans="2:9" x14ac:dyDescent="0.35">
      <c r="B40" s="2" t="s">
        <v>113</v>
      </c>
    </row>
    <row r="41" spans="2:9" x14ac:dyDescent="0.35">
      <c r="B41" t="s">
        <v>47</v>
      </c>
      <c r="C41" t="s">
        <v>32</v>
      </c>
      <c r="D41" t="s">
        <v>48</v>
      </c>
      <c r="E41" t="s">
        <v>14</v>
      </c>
      <c r="F41" t="s">
        <v>13</v>
      </c>
      <c r="G41" t="s">
        <v>49</v>
      </c>
      <c r="H41" t="s">
        <v>50</v>
      </c>
      <c r="I41" t="s">
        <v>95</v>
      </c>
    </row>
    <row r="42" spans="2:9" x14ac:dyDescent="0.35">
      <c r="B42">
        <v>1</v>
      </c>
      <c r="C42">
        <v>1</v>
      </c>
      <c r="D42" t="s">
        <v>43</v>
      </c>
      <c r="E42" t="s">
        <v>51</v>
      </c>
      <c r="F42" t="s">
        <v>52</v>
      </c>
      <c r="G42">
        <v>200</v>
      </c>
      <c r="H42" s="1">
        <v>45932</v>
      </c>
      <c r="I42" s="17" t="e">
        <f>tbl_Fluxo_Caixa15[[#This Row],[valor]]-tbl_Ordem_Servico14[[#This Row],[Valor Total]]</f>
        <v>#VALUE!</v>
      </c>
    </row>
  </sheetData>
  <phoneticPr fontId="4" type="noConversion"/>
  <hyperlinks>
    <hyperlink ref="C10" r:id="rId1" xr:uid="{2C6757C2-D72A-8447-9341-EE928F8C81CA}"/>
  </hyperlinks>
  <pageMargins left="0.7" right="0.7" top="0.75" bottom="0.75" header="0.3" footer="0.3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_orcamentos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ColWidth="8.81640625" defaultRowHeight="14.5" x14ac:dyDescent="0.35"/>
  <cols>
    <col min="1" max="1" width="17.6328125" customWidth="1"/>
    <col min="2" max="4" width="15.6328125" customWidth="1"/>
    <col min="5" max="5" width="19.6328125" customWidth="1"/>
    <col min="6" max="6" width="13.6328125" customWidth="1"/>
    <col min="7" max="7" width="14.6328125" customWidth="1"/>
    <col min="8" max="8" width="17.6328125" customWidth="1"/>
    <col min="9" max="9" width="16.6328125" customWidth="1"/>
    <col min="10" max="10" width="13.6328125" customWidth="1"/>
  </cols>
  <sheetData>
    <row r="1" spans="1:10" x14ac:dyDescent="0.35">
      <c r="A1" t="s">
        <v>25</v>
      </c>
      <c r="B1" t="s">
        <v>0</v>
      </c>
      <c r="C1" t="s">
        <v>4</v>
      </c>
      <c r="D1" t="s">
        <v>12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</row>
    <row r="2" spans="1:10" x14ac:dyDescent="0.35">
      <c r="A2">
        <v>1</v>
      </c>
      <c r="B2">
        <v>1</v>
      </c>
      <c r="C2">
        <v>1</v>
      </c>
      <c r="D2">
        <v>1</v>
      </c>
      <c r="E2" s="1">
        <v>45922</v>
      </c>
      <c r="F2">
        <v>300</v>
      </c>
      <c r="G2">
        <v>250</v>
      </c>
      <c r="H2">
        <v>15</v>
      </c>
      <c r="I2">
        <v>632.5</v>
      </c>
      <c r="J2">
        <v>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_movimentacao_estoque"/>
  <dimension ref="A1:G5"/>
  <sheetViews>
    <sheetView workbookViewId="0">
      <pane ySplit="1" topLeftCell="A2" activePane="bottomLeft" state="frozen"/>
      <selection pane="bottomLeft" activeCell="I41" sqref="I41"/>
    </sheetView>
  </sheetViews>
  <sheetFormatPr defaultColWidth="8.81640625" defaultRowHeight="14.5" x14ac:dyDescent="0.35"/>
  <cols>
    <col min="1" max="1" width="12.6328125" customWidth="1"/>
    <col min="2" max="2" width="16.6328125" customWidth="1"/>
    <col min="3" max="3" width="12.6328125" customWidth="1"/>
    <col min="4" max="4" width="22.6328125" customWidth="1"/>
    <col min="5" max="5" width="15.6328125" customWidth="1"/>
    <col min="6" max="6" width="13.6328125" customWidth="1"/>
    <col min="7" max="7" width="16.6328125" customWidth="1"/>
  </cols>
  <sheetData>
    <row r="1" spans="1:7" x14ac:dyDescent="0.35">
      <c r="A1" t="s">
        <v>38</v>
      </c>
      <c r="B1" t="s">
        <v>16</v>
      </c>
      <c r="C1" t="s">
        <v>32</v>
      </c>
      <c r="D1" t="s">
        <v>39</v>
      </c>
      <c r="E1" t="s">
        <v>40</v>
      </c>
      <c r="F1" t="s">
        <v>41</v>
      </c>
      <c r="G1" t="s">
        <v>36</v>
      </c>
    </row>
    <row r="2" spans="1:7" x14ac:dyDescent="0.35">
      <c r="A2">
        <v>1</v>
      </c>
      <c r="B2">
        <v>1</v>
      </c>
      <c r="C2">
        <v>1</v>
      </c>
      <c r="D2" t="s">
        <v>42</v>
      </c>
      <c r="E2">
        <v>2.5</v>
      </c>
      <c r="F2" s="1">
        <v>45929</v>
      </c>
      <c r="G2" t="s">
        <v>44</v>
      </c>
    </row>
    <row r="3" spans="1:7" x14ac:dyDescent="0.35">
      <c r="A3">
        <v>2</v>
      </c>
      <c r="B3">
        <v>2</v>
      </c>
      <c r="C3">
        <v>1</v>
      </c>
      <c r="D3" t="s">
        <v>42</v>
      </c>
      <c r="E3">
        <v>6</v>
      </c>
      <c r="F3" s="1">
        <v>45929</v>
      </c>
      <c r="G3" t="s">
        <v>45</v>
      </c>
    </row>
    <row r="4" spans="1:7" x14ac:dyDescent="0.35">
      <c r="A4">
        <v>3</v>
      </c>
      <c r="B4">
        <v>1</v>
      </c>
      <c r="D4" t="s">
        <v>43</v>
      </c>
      <c r="E4">
        <v>50</v>
      </c>
      <c r="F4" s="1">
        <v>45904</v>
      </c>
      <c r="G4" t="s">
        <v>46</v>
      </c>
    </row>
    <row r="5" spans="1:7" x14ac:dyDescent="0.35">
      <c r="A5">
        <v>3</v>
      </c>
      <c r="B5">
        <v>2</v>
      </c>
      <c r="D5" t="s">
        <v>43</v>
      </c>
      <c r="E5">
        <v>50</v>
      </c>
      <c r="F5" s="1">
        <v>45904</v>
      </c>
      <c r="G5" t="s">
        <v>46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A5159-5B88-4922-AE1F-69029180C580}">
  <sheetPr codeName="sh_relatorios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Vidal de Souza</dc:creator>
  <cp:lastModifiedBy>Sara Vidal de Souza</cp:lastModifiedBy>
  <dcterms:created xsi:type="dcterms:W3CDTF">2025-10-04T19:06:42Z</dcterms:created>
  <dcterms:modified xsi:type="dcterms:W3CDTF">2025-10-18T13:09:50Z</dcterms:modified>
</cp:coreProperties>
</file>