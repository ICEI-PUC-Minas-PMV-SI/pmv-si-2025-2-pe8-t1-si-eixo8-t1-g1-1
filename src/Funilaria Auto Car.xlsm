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d59472b395c45/Área de Trabalho/Semestre 8 2025-02/Trabalho de Conclusao de Curso/src/"/>
    </mc:Choice>
  </mc:AlternateContent>
  <xr:revisionPtr revIDLastSave="657" documentId="13_ncr:1_{FF3E129A-F3C3-4C08-B8D5-C5705AAF8F54}" xr6:coauthVersionLast="47" xr6:coauthVersionMax="47" xr10:uidLastSave="{A51FB8E9-C66E-477C-8C03-496AE4A40D59}"/>
  <bookViews>
    <workbookView xWindow="-110" yWindow="-110" windowWidth="27580" windowHeight="17740" tabRatio="945" xr2:uid="{00000000-000D-0000-FFFF-FFFF00000000}"/>
  </bookViews>
  <sheets>
    <sheet name="Home" sheetId="19" r:id="rId1"/>
    <sheet name="Usuários do Sistema-Funcionário" sheetId="23" state="veryHidden" r:id="rId2"/>
    <sheet name="Lista de Clientes" sheetId="18" state="veryHidden" r:id="rId3"/>
    <sheet name="Serviços" sheetId="20" state="veryHidden" r:id="rId4"/>
    <sheet name="Fornecedor" sheetId="22" state="veryHidden" r:id="rId5"/>
    <sheet name="Materiais" sheetId="21" state="veryHidden" r:id="rId6"/>
    <sheet name="Estoque - Compra de Materiais" sheetId="26" state="veryHidden" r:id="rId7"/>
    <sheet name="Ordem de Serviço" sheetId="28" state="veryHidden" r:id="rId8"/>
    <sheet name="Relatório de Estoque" sheetId="27" state="veryHidden" r:id="rId9"/>
  </sheets>
  <functionGroups builtInGroupCount="19"/>
  <definedNames>
    <definedName name="_xleta.N" hidden="1" xlm="1">#NAME?</definedName>
    <definedName name="ExternalData_1" localSheetId="8" hidden="1">'Relatório de Estoque'!$B$5:$G$12</definedName>
    <definedName name="Rng_id_funcionario">Home!$V$2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4AE50-1C32-4B9E-B3D1-D0519760EA8E}" keepAlive="1" name="Query - vw_estoque_clean_report" description="Connection to the 'vw_estoque_clean_report' query in the workbook." type="5" refreshedVersion="8" background="1" saveData="1">
    <dbPr connection="Provider=Microsoft.Mashup.OleDb.1;Data Source=$Workbook$;Location=vw_estoque_clean_report;Extended Properties=&quot;&quot;" command="SELECT * FROM [vw_estoque_clean_report]"/>
  </connection>
</connections>
</file>

<file path=xl/sharedStrings.xml><?xml version="1.0" encoding="utf-8"?>
<sst xmlns="http://schemas.openxmlformats.org/spreadsheetml/2006/main" count="384" uniqueCount="190">
  <si>
    <t>Pintura</t>
  </si>
  <si>
    <t>Serviço</t>
  </si>
  <si>
    <t>Material</t>
  </si>
  <si>
    <t>Telefone</t>
  </si>
  <si>
    <t>Endereço</t>
  </si>
  <si>
    <t>CPF</t>
  </si>
  <si>
    <t>Nome Completo</t>
  </si>
  <si>
    <t>Bairro</t>
  </si>
  <si>
    <t>Cidade</t>
  </si>
  <si>
    <t>Estado (UF)</t>
  </si>
  <si>
    <t>Email</t>
  </si>
  <si>
    <t>Belo Horizonte</t>
  </si>
  <si>
    <t>Data de Cadastro</t>
  </si>
  <si>
    <t>Serviço Executado por</t>
  </si>
  <si>
    <t>E-mail</t>
  </si>
  <si>
    <t>Nr. Casa/ Apt</t>
  </si>
  <si>
    <t>Cliente Ativo</t>
  </si>
  <si>
    <t>ID</t>
  </si>
  <si>
    <t>666.666.666-66</t>
  </si>
  <si>
    <t>(66) 6 6666-6666</t>
  </si>
  <si>
    <t>6</t>
  </si>
  <si>
    <t>Descrição</t>
  </si>
  <si>
    <t>Serviço ativo</t>
  </si>
  <si>
    <t>Entrega de veículo</t>
  </si>
  <si>
    <t>Coleta de veículo</t>
  </si>
  <si>
    <t>Manutenção</t>
  </si>
  <si>
    <t>Troca de óleo</t>
  </si>
  <si>
    <t>Troca de pastilha de freio</t>
  </si>
  <si>
    <t>Interior</t>
  </si>
  <si>
    <t>Troca de bancos</t>
  </si>
  <si>
    <t>Asistência à domicílio</t>
  </si>
  <si>
    <t>Funcionário</t>
  </si>
  <si>
    <t>Fabricante</t>
  </si>
  <si>
    <t>Fornecedor</t>
  </si>
  <si>
    <t>Unidade</t>
  </si>
  <si>
    <t>Custo de Compra da Unidade</t>
  </si>
  <si>
    <t>CNPJ</t>
  </si>
  <si>
    <t>Nome Fantasia</t>
  </si>
  <si>
    <t>Estado</t>
  </si>
  <si>
    <t>Site</t>
  </si>
  <si>
    <t>Tempo de entrega (em dias)</t>
  </si>
  <si>
    <t>Fornecedor ativo</t>
  </si>
  <si>
    <t>Cargo</t>
  </si>
  <si>
    <t>Data de Nascimento</t>
  </si>
  <si>
    <t>Salário</t>
  </si>
  <si>
    <t>Perfil</t>
  </si>
  <si>
    <t>Data de cadastro</t>
  </si>
  <si>
    <t>Preço Médio (Mão de obra)</t>
  </si>
  <si>
    <t>Pintura de carro inteiro</t>
  </si>
  <si>
    <t>Pampulha</t>
  </si>
  <si>
    <t>MG</t>
  </si>
  <si>
    <t>Teste</t>
  </si>
  <si>
    <t>teste</t>
  </si>
  <si>
    <t>Estoque Mínimo</t>
  </si>
  <si>
    <t>Nome Completo do Funcionário</t>
  </si>
  <si>
    <t>sara</t>
  </si>
  <si>
    <t>888.888.888-88</t>
  </si>
  <si>
    <t>(88) 8 8888-8888</t>
  </si>
  <si>
    <t>Sim</t>
  </si>
  <si>
    <t>Não</t>
  </si>
  <si>
    <t>CEP</t>
  </si>
  <si>
    <t>Rua dos Fortes</t>
  </si>
  <si>
    <t>222.222.222-22</t>
  </si>
  <si>
    <t>22222-222</t>
  </si>
  <si>
    <t>AM</t>
  </si>
  <si>
    <t>56564-646</t>
  </si>
  <si>
    <t>1A</t>
  </si>
  <si>
    <t>sara.vidal@gmail.com</t>
  </si>
  <si>
    <t>(44) 4 4444-4444</t>
  </si>
  <si>
    <t>teste22</t>
  </si>
  <si>
    <t>(22) 2 2222-2222</t>
  </si>
  <si>
    <t>2</t>
  </si>
  <si>
    <t>666</t>
  </si>
  <si>
    <t>66666-666</t>
  </si>
  <si>
    <t>444.444.444-44</t>
  </si>
  <si>
    <t>4</t>
  </si>
  <si>
    <t>44444-444</t>
  </si>
  <si>
    <t>AP</t>
  </si>
  <si>
    <t>Funcionário Ativo</t>
  </si>
  <si>
    <t>Administrador</t>
  </si>
  <si>
    <t>(99) 9 9999-9999</t>
  </si>
  <si>
    <t>999.999.999-99</t>
  </si>
  <si>
    <t>1988-01-01</t>
  </si>
  <si>
    <t>Sara Vidal</t>
  </si>
  <si>
    <t>Rua 1</t>
  </si>
  <si>
    <t>Bairro 3</t>
  </si>
  <si>
    <t>99839-988</t>
  </si>
  <si>
    <t>sara@hotmail.com</t>
  </si>
  <si>
    <t>Admin</t>
  </si>
  <si>
    <t>000.000.000-00</t>
  </si>
  <si>
    <t>54g</t>
  </si>
  <si>
    <t>89882-234</t>
  </si>
  <si>
    <t>MA</t>
  </si>
  <si>
    <t>teste@teste.com</t>
  </si>
  <si>
    <t>1977-08-01</t>
  </si>
  <si>
    <t>4589.78</t>
  </si>
  <si>
    <t>5698.98</t>
  </si>
  <si>
    <t>testeendereço</t>
  </si>
  <si>
    <t>testecasa1</t>
  </si>
  <si>
    <t>teste bairro</t>
  </si>
  <si>
    <t>90983-477</t>
  </si>
  <si>
    <t>teste cidade</t>
  </si>
  <si>
    <t>GO</t>
  </si>
  <si>
    <t>testeemail@gmail.com</t>
  </si>
  <si>
    <t>teste cargo</t>
  </si>
  <si>
    <t>bbbbbbbbbbbb</t>
  </si>
  <si>
    <t>3222.00</t>
  </si>
  <si>
    <t>Nr.</t>
  </si>
  <si>
    <t>Cadastrado por</t>
  </si>
  <si>
    <t>endereco</t>
  </si>
  <si>
    <t>bairro</t>
  </si>
  <si>
    <t>cidade</t>
  </si>
  <si>
    <t>site</t>
  </si>
  <si>
    <t>11.111.111/1111-11</t>
  </si>
  <si>
    <t>3</t>
  </si>
  <si>
    <t>33.333.333/3333-33</t>
  </si>
  <si>
    <t>DF</t>
  </si>
  <si>
    <t>(33) 3 3333-3333</t>
  </si>
  <si>
    <t>77777-887</t>
  </si>
  <si>
    <t>RJ</t>
  </si>
  <si>
    <t>email@test.com</t>
  </si>
  <si>
    <t>33.333.333/3333-32</t>
  </si>
  <si>
    <t>2222</t>
  </si>
  <si>
    <t>42</t>
  </si>
  <si>
    <t>4222</t>
  </si>
  <si>
    <t>422222222222</t>
  </si>
  <si>
    <t>422222</t>
  </si>
  <si>
    <t>aaa3</t>
  </si>
  <si>
    <t>Material Ativo</t>
  </si>
  <si>
    <t>Roberto Almeida bbbb</t>
  </si>
  <si>
    <t>q</t>
  </si>
  <si>
    <t>Quilograma (kg)</t>
  </si>
  <si>
    <t>Grama (g)</t>
  </si>
  <si>
    <t>Data de Entrada</t>
  </si>
  <si>
    <t>Valor da unidade</t>
  </si>
  <si>
    <t>Ano</t>
  </si>
  <si>
    <t>Unidade de Medida</t>
  </si>
  <si>
    <t>Quantidade Comprada</t>
  </si>
  <si>
    <t>Valor Total da Compra</t>
  </si>
  <si>
    <t>Tinta</t>
  </si>
  <si>
    <t>Litro (L)</t>
  </si>
  <si>
    <t>Porcentagem de Lucro</t>
  </si>
  <si>
    <t>ID do Cliente</t>
  </si>
  <si>
    <t>Id do Serviço</t>
  </si>
  <si>
    <t>Nome Completo do Cliente</t>
  </si>
  <si>
    <t>Id do Material Usado para o Serviço</t>
  </si>
  <si>
    <t>Material Usado para o Serviço</t>
  </si>
  <si>
    <t>Quantidade de Material Usado</t>
  </si>
  <si>
    <t>Marca</t>
  </si>
  <si>
    <t>Modelo</t>
  </si>
  <si>
    <t>Placa</t>
  </si>
  <si>
    <t>Informações do Veículo</t>
  </si>
  <si>
    <t>Data Inicial do Serviço</t>
  </si>
  <si>
    <t>Status</t>
  </si>
  <si>
    <t>Observações</t>
  </si>
  <si>
    <t>Data de Conclusão do Serviço</t>
  </si>
  <si>
    <t>Custo total de Material - Padrão</t>
  </si>
  <si>
    <t>Custo de Mão de Obra</t>
  </si>
  <si>
    <t xml:space="preserve">Valor total </t>
  </si>
  <si>
    <t>fornecedor1</t>
  </si>
  <si>
    <t>fornecedor3</t>
  </si>
  <si>
    <t>s</t>
  </si>
  <si>
    <t>fornecedor2</t>
  </si>
  <si>
    <t>teste2finala</t>
  </si>
  <si>
    <t>ssssssssssaddsss</t>
  </si>
  <si>
    <t>teste5</t>
  </si>
  <si>
    <t>testess</t>
  </si>
  <si>
    <t>Milímetro (mm)</t>
  </si>
  <si>
    <t>testesss</t>
  </si>
  <si>
    <t>sss</t>
  </si>
  <si>
    <t>Centímetro (cm)</t>
  </si>
  <si>
    <t>Massa</t>
  </si>
  <si>
    <t>Olga</t>
  </si>
  <si>
    <t>w</t>
  </si>
  <si>
    <t>ra</t>
  </si>
  <si>
    <t>sa</t>
  </si>
  <si>
    <t>1</t>
  </si>
  <si>
    <t>Em Progresso</t>
  </si>
  <si>
    <t>Não Iniciado</t>
  </si>
  <si>
    <t>11</t>
  </si>
  <si>
    <t>Terminado</t>
  </si>
  <si>
    <t>id_material</t>
  </si>
  <si>
    <t>nome_produto</t>
  </si>
  <si>
    <t>unidade_medida</t>
  </si>
  <si>
    <t>quantidade_comprada</t>
  </si>
  <si>
    <t>quantidade_usada</t>
  </si>
  <si>
    <t>quantidade_estoque</t>
  </si>
  <si>
    <t>5</t>
  </si>
  <si>
    <t>7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</si>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</sst>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€&quot;\ * #,##0.00_ ;_ &quot;€&quot;\ * \-#,##0.00_ ;_ &quot;€&quot;\ * &quot;-&quot;??_ ;_ @_ "/>
    <numFmt numFmtId="165" formatCode="_-[$R$-416]\ * #,##0.00_-;\-[$R$-416]\ * #,##0.00_-;_-[$R$-416]\ 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  <scheme val="minor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07111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/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/>
      <diagonal/>
    </border>
    <border>
      <left style="dashed">
        <color theme="0" tint="-0.499984740745262"/>
      </left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 style="thin">
        <color auto="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5" fillId="4" borderId="0" applyNumberFormat="0" applyBorder="0" applyAlignment="0" applyProtection="0"/>
    <xf numFmtId="9" fontId="1" fillId="0" borderId="0" applyFont="0" applyFill="0" applyBorder="0" applyAlignment="0" applyProtection="0"/>
  </cellStyleXfs>
  <cellXfs count="86">
    <xf numFmtId="0" fontId="0" fillId="0" borderId="0" xfId="0"/>
    <xf numFmtId="0" fontId="6" fillId="2" borderId="1" xfId="0" applyFont="1" applyFill="1" applyBorder="1" applyAlignment="1">
      <alignment horizontal="left"/>
    </xf>
    <xf numFmtId="14" fontId="6" fillId="2" borderId="2" xfId="0" applyNumberFormat="1" applyFont="1" applyFill="1" applyBorder="1" applyAlignment="1">
      <alignment horizontal="left"/>
    </xf>
    <xf numFmtId="0" fontId="0" fillId="2" borderId="1" xfId="3" applyFont="1" applyFill="1" applyBorder="1" applyAlignment="1">
      <alignment horizontal="left" vertical="center"/>
    </xf>
    <xf numFmtId="14" fontId="0" fillId="2" borderId="1" xfId="3" applyNumberFormat="1" applyFont="1" applyFill="1" applyBorder="1" applyAlignment="1">
      <alignment horizontal="left" vertical="center"/>
    </xf>
    <xf numFmtId="0" fontId="2" fillId="2" borderId="1" xfId="2" applyFill="1" applyBorder="1" applyAlignment="1">
      <alignment horizontal="left" vertical="center"/>
    </xf>
    <xf numFmtId="0" fontId="2" fillId="2" borderId="4" xfId="2" applyFill="1" applyBorder="1" applyAlignment="1">
      <alignment horizontal="left"/>
    </xf>
    <xf numFmtId="0" fontId="0" fillId="3" borderId="3" xfId="3" applyFont="1" applyFill="1" applyBorder="1" applyAlignment="1">
      <alignment horizontal="center" vertical="center"/>
    </xf>
    <xf numFmtId="0" fontId="0" fillId="3" borderId="2" xfId="3" applyFont="1" applyFill="1" applyBorder="1" applyAlignment="1">
      <alignment horizontal="center" vertical="center"/>
    </xf>
    <xf numFmtId="0" fontId="6" fillId="5" borderId="0" xfId="0" applyFont="1" applyFill="1"/>
    <xf numFmtId="0" fontId="7" fillId="5" borderId="0" xfId="0" applyFont="1" applyFill="1"/>
    <xf numFmtId="0" fontId="4" fillId="5" borderId="0" xfId="0" applyFont="1" applyFill="1"/>
    <xf numFmtId="14" fontId="4" fillId="5" borderId="0" xfId="0" applyNumberFormat="1" applyFont="1" applyFill="1"/>
    <xf numFmtId="0" fontId="8" fillId="5" borderId="0" xfId="0" applyFont="1" applyFill="1"/>
    <xf numFmtId="14" fontId="7" fillId="5" borderId="0" xfId="0" applyNumberFormat="1" applyFont="1" applyFill="1" applyAlignment="1">
      <alignment horizontal="left"/>
    </xf>
    <xf numFmtId="0" fontId="0" fillId="5" borderId="0" xfId="0" applyFill="1"/>
    <xf numFmtId="0" fontId="2" fillId="2" borderId="1" xfId="2" applyFill="1" applyBorder="1" applyAlignment="1">
      <alignment horizontal="left"/>
    </xf>
    <xf numFmtId="0" fontId="6" fillId="5" borderId="0" xfId="0" applyFont="1" applyFill="1" applyAlignment="1">
      <alignment wrapText="1"/>
    </xf>
    <xf numFmtId="0" fontId="6" fillId="3" borderId="3" xfId="3" applyFont="1" applyFill="1" applyBorder="1" applyAlignment="1">
      <alignment horizontal="center" vertical="center" wrapText="1"/>
    </xf>
    <xf numFmtId="0" fontId="6" fillId="3" borderId="2" xfId="3" applyFont="1" applyFill="1" applyBorder="1" applyAlignment="1">
      <alignment horizontal="center" vertical="center" wrapText="1"/>
    </xf>
    <xf numFmtId="0" fontId="0" fillId="3" borderId="2" xfId="3" applyFont="1" applyFill="1" applyBorder="1" applyAlignment="1">
      <alignment horizontal="center" vertical="center" wrapText="1"/>
    </xf>
    <xf numFmtId="0" fontId="2" fillId="2" borderId="1" xfId="2" applyNumberFormat="1" applyFill="1" applyBorder="1" applyAlignment="1">
      <alignment horizontal="left" vertical="center"/>
    </xf>
    <xf numFmtId="0" fontId="2" fillId="2" borderId="1" xfId="2" applyNumberFormat="1" applyFill="1" applyBorder="1" applyAlignment="1">
      <alignment horizontal="left"/>
    </xf>
    <xf numFmtId="0" fontId="0" fillId="2" borderId="4" xfId="3" applyFont="1" applyFill="1" applyBorder="1" applyAlignment="1">
      <alignment horizontal="left" vertical="center"/>
    </xf>
    <xf numFmtId="14" fontId="0" fillId="2" borderId="4" xfId="3" applyNumberFormat="1" applyFont="1" applyFill="1" applyBorder="1" applyAlignment="1">
      <alignment horizontal="left" vertical="center"/>
    </xf>
    <xf numFmtId="0" fontId="10" fillId="3" borderId="4" xfId="3" applyFont="1" applyFill="1" applyBorder="1" applyAlignment="1">
      <alignment horizontal="center" vertical="center" wrapText="1"/>
    </xf>
    <xf numFmtId="0" fontId="0" fillId="3" borderId="3" xfId="3" applyFont="1" applyFill="1" applyBorder="1" applyAlignment="1">
      <alignment horizontal="center" vertical="center" wrapText="1"/>
    </xf>
    <xf numFmtId="0" fontId="0" fillId="5" borderId="0" xfId="0" applyFill="1" applyAlignment="1">
      <alignment wrapText="1"/>
    </xf>
    <xf numFmtId="0" fontId="0" fillId="2" borderId="1" xfId="3" applyNumberFormat="1" applyFont="1" applyFill="1" applyBorder="1" applyAlignment="1">
      <alignment horizontal="left"/>
    </xf>
    <xf numFmtId="0" fontId="0" fillId="2" borderId="1" xfId="3" applyNumberFormat="1" applyFont="1" applyFill="1" applyBorder="1" applyAlignment="1">
      <alignment horizontal="left" vertical="center"/>
    </xf>
    <xf numFmtId="0" fontId="0" fillId="2" borderId="4" xfId="3" applyNumberFormat="1" applyFont="1" applyFill="1" applyBorder="1" applyAlignment="1">
      <alignment horizontal="left"/>
    </xf>
    <xf numFmtId="0" fontId="0" fillId="2" borderId="2" xfId="3" applyNumberFormat="1" applyFont="1" applyFill="1" applyBorder="1" applyAlignment="1">
      <alignment horizontal="left"/>
    </xf>
    <xf numFmtId="2" fontId="0" fillId="2" borderId="2" xfId="3" applyNumberFormat="1" applyFont="1" applyFill="1" applyBorder="1" applyAlignment="1">
      <alignment horizontal="left"/>
    </xf>
    <xf numFmtId="14" fontId="0" fillId="2" borderId="2" xfId="3" applyNumberFormat="1" applyFont="1" applyFill="1" applyBorder="1" applyAlignment="1">
      <alignment horizontal="left"/>
    </xf>
    <xf numFmtId="0" fontId="2" fillId="5" borderId="0" xfId="2" applyFill="1"/>
    <xf numFmtId="0" fontId="0" fillId="0" borderId="0" xfId="0" applyAlignment="1">
      <alignment wrapText="1"/>
    </xf>
    <xf numFmtId="0" fontId="0" fillId="2" borderId="1" xfId="3" applyFont="1" applyFill="1" applyBorder="1" applyAlignment="1">
      <alignment horizontal="left"/>
    </xf>
    <xf numFmtId="0" fontId="10" fillId="2" borderId="1" xfId="3" applyFont="1" applyFill="1" applyBorder="1" applyAlignment="1">
      <alignment horizontal="left" vertical="center"/>
    </xf>
    <xf numFmtId="0" fontId="6" fillId="2" borderId="1" xfId="3" applyFont="1" applyFill="1" applyBorder="1" applyAlignment="1">
      <alignment horizontal="left" vertical="center"/>
    </xf>
    <xf numFmtId="0" fontId="6" fillId="2" borderId="1" xfId="3" applyFont="1" applyFill="1" applyBorder="1" applyAlignment="1">
      <alignment horizontal="left"/>
    </xf>
    <xf numFmtId="14" fontId="6" fillId="2" borderId="2" xfId="3" applyNumberFormat="1" applyFont="1" applyFill="1" applyBorder="1" applyAlignment="1">
      <alignment horizontal="left"/>
    </xf>
    <xf numFmtId="0" fontId="6" fillId="2" borderId="2" xfId="3" applyNumberFormat="1" applyFont="1" applyFill="1" applyBorder="1" applyAlignment="1">
      <alignment horizontal="left"/>
    </xf>
    <xf numFmtId="0" fontId="6" fillId="3" borderId="6" xfId="3" applyFont="1" applyFill="1" applyBorder="1" applyAlignment="1">
      <alignment horizontal="center" vertical="center" wrapText="1"/>
    </xf>
    <xf numFmtId="0" fontId="2" fillId="2" borderId="1" xfId="2" applyFill="1" applyBorder="1" applyAlignment="1">
      <alignment vertical="center"/>
    </xf>
    <xf numFmtId="0" fontId="6" fillId="0" borderId="1" xfId="3" applyFont="1" applyFill="1" applyBorder="1" applyAlignment="1">
      <alignment vertical="center"/>
    </xf>
    <xf numFmtId="0" fontId="6" fillId="0" borderId="3" xfId="3" applyFont="1" applyFill="1" applyBorder="1" applyAlignment="1">
      <alignment vertical="center" wrapText="1"/>
    </xf>
    <xf numFmtId="0" fontId="6" fillId="0" borderId="2" xfId="3" applyNumberFormat="1" applyFont="1" applyFill="1" applyBorder="1" applyAlignment="1"/>
    <xf numFmtId="165" fontId="6" fillId="2" borderId="2" xfId="1" applyNumberFormat="1" applyFont="1" applyFill="1" applyBorder="1" applyAlignment="1"/>
    <xf numFmtId="165" fontId="6" fillId="2" borderId="2" xfId="3" applyNumberFormat="1" applyFont="1" applyFill="1" applyBorder="1" applyAlignment="1"/>
    <xf numFmtId="14" fontId="12" fillId="6" borderId="5" xfId="3" applyNumberFormat="1" applyFont="1" applyFill="1" applyBorder="1" applyAlignment="1">
      <alignment vertical="center"/>
    </xf>
    <xf numFmtId="0" fontId="2" fillId="2" borderId="1" xfId="2" applyFill="1" applyBorder="1" applyAlignment="1"/>
    <xf numFmtId="0" fontId="2" fillId="2" borderId="4" xfId="2" applyFill="1" applyBorder="1" applyAlignment="1"/>
    <xf numFmtId="0" fontId="9" fillId="5" borderId="0" xfId="0" applyFont="1" applyFill="1"/>
    <xf numFmtId="0" fontId="6" fillId="2" borderId="2" xfId="0" applyFont="1" applyFill="1" applyBorder="1" applyAlignment="1">
      <alignment horizontal="left"/>
    </xf>
    <xf numFmtId="0" fontId="6" fillId="2" borderId="4" xfId="0" applyFont="1" applyFill="1" applyBorder="1" applyAlignment="1">
      <alignment horizontal="left"/>
    </xf>
    <xf numFmtId="0" fontId="6" fillId="0" borderId="1" xfId="0" applyFont="1" applyBorder="1"/>
    <xf numFmtId="0" fontId="6" fillId="0" borderId="3" xfId="0" applyFont="1" applyBorder="1"/>
    <xf numFmtId="0" fontId="6" fillId="0" borderId="2" xfId="0" applyFont="1" applyBorder="1"/>
    <xf numFmtId="165" fontId="6" fillId="2" borderId="2" xfId="0" applyNumberFormat="1" applyFont="1" applyFill="1" applyBorder="1"/>
    <xf numFmtId="0" fontId="6" fillId="0" borderId="4" xfId="0" applyFont="1" applyBorder="1"/>
    <xf numFmtId="14" fontId="12" fillId="6" borderId="5" xfId="0" applyNumberFormat="1" applyFont="1" applyFill="1" applyBorder="1"/>
    <xf numFmtId="0" fontId="2" fillId="0" borderId="3" xfId="2" applyFill="1" applyBorder="1" applyAlignment="1"/>
    <xf numFmtId="0" fontId="13" fillId="0" borderId="3" xfId="3" applyFont="1" applyFill="1" applyBorder="1" applyAlignment="1"/>
    <xf numFmtId="0" fontId="13" fillId="0" borderId="3" xfId="3" applyNumberFormat="1" applyFont="1" applyFill="1" applyBorder="1" applyAlignment="1"/>
    <xf numFmtId="0" fontId="13" fillId="0" borderId="0" xfId="1" applyNumberFormat="1" applyFont="1" applyFill="1" applyBorder="1" applyAlignment="1"/>
    <xf numFmtId="0" fontId="14" fillId="0" borderId="2" xfId="3" applyFont="1" applyFill="1" applyBorder="1" applyAlignment="1"/>
    <xf numFmtId="0" fontId="14" fillId="0" borderId="3" xfId="3" applyFont="1" applyFill="1" applyBorder="1" applyAlignment="1"/>
    <xf numFmtId="14" fontId="14" fillId="0" borderId="3" xfId="3" applyNumberFormat="1" applyFont="1" applyFill="1" applyBorder="1" applyAlignment="1"/>
    <xf numFmtId="0" fontId="13" fillId="0" borderId="3" xfId="0" applyFont="1" applyBorder="1"/>
    <xf numFmtId="0" fontId="13" fillId="0" borderId="0" xfId="1" applyNumberFormat="1" applyFont="1" applyFill="1" applyAlignment="1"/>
    <xf numFmtId="0" fontId="14" fillId="0" borderId="2" xfId="0" applyFont="1" applyBorder="1"/>
    <xf numFmtId="0" fontId="14" fillId="0" borderId="3" xfId="0" applyFont="1" applyBorder="1"/>
    <xf numFmtId="14" fontId="14" fillId="0" borderId="3" xfId="0" applyNumberFormat="1" applyFont="1" applyBorder="1"/>
    <xf numFmtId="165" fontId="14" fillId="0" borderId="3" xfId="3" applyNumberFormat="1" applyFont="1" applyFill="1" applyBorder="1" applyAlignment="1"/>
    <xf numFmtId="165" fontId="14" fillId="0" borderId="3" xfId="0" applyNumberFormat="1" applyFont="1" applyBorder="1"/>
    <xf numFmtId="0" fontId="6" fillId="7" borderId="6" xfId="3" applyFont="1" applyFill="1" applyBorder="1" applyAlignment="1">
      <alignment horizontal="center" vertical="center" wrapText="1"/>
    </xf>
    <xf numFmtId="9" fontId="14" fillId="0" borderId="0" xfId="4" applyFont="1" applyFill="1" applyAlignment="1"/>
    <xf numFmtId="9" fontId="14" fillId="0" borderId="0" xfId="4" applyFont="1" applyFill="1" applyBorder="1" applyAlignment="1"/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2" fontId="0" fillId="2" borderId="2" xfId="0" applyNumberFormat="1" applyFill="1" applyBorder="1" applyAlignment="1">
      <alignment horizontal="left"/>
    </xf>
    <xf numFmtId="14" fontId="0" fillId="2" borderId="1" xfId="0" applyNumberFormat="1" applyFill="1" applyBorder="1" applyAlignment="1">
      <alignment horizontal="left"/>
    </xf>
    <xf numFmtId="0" fontId="11" fillId="0" borderId="0" xfId="0" applyFont="1" applyAlignment="1">
      <alignment horizontal="center"/>
    </xf>
  </cellXfs>
  <cellStyles count="5">
    <cellStyle name="Bad" xfId="3" builtinId="27"/>
    <cellStyle name="Currency" xfId="1" builtinId="4"/>
    <cellStyle name="Hyperlink" xfId="2" builtinId="8"/>
    <cellStyle name="Normal" xfId="0" builtinId="0"/>
    <cellStyle name="Percent" xfId="4" builtinId="5"/>
  </cellStyles>
  <dxfs count="123"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numFmt numFmtId="165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color auto="1"/>
        <name val="Calibri"/>
        <family val="2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textRotation="0" wrapText="0" indent="0" justifyLastLine="0" shrinkToFit="0" readingOrder="0"/>
      <border outline="0">
        <left style="dashed">
          <color theme="0" tint="-0.49998474074526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ill>
        <patternFill patternType="none">
          <fgColor indexed="64"/>
          <bgColor auto="1"/>
        </patternFill>
      </fill>
      <alignment horizontal="general" textRotation="0" indent="0" justifyLastLine="0" shrinkToFit="0" readingOrder="0"/>
      <border outline="0">
        <right style="dashed">
          <color theme="0" tint="-0.499984740745262"/>
        </right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color theme="1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</dxfs>
  <tableStyles count="0" defaultTableStyle="TableStyleMedium9" defaultPivotStyle="PivotStyleLight16"/>
  <colors>
    <mruColors>
      <color rgb="FF0A1828"/>
      <color rgb="FF00E9F1"/>
      <color rgb="FF0711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450850</xdr:colOff>
      <xdr:row>1048576</xdr:row>
      <xdr:rowOff>171450</xdr:rowOff>
    </xdr:to>
    <xdr:pic>
      <xdr:nvPicPr>
        <xdr:cNvPr id="10" name="Picture 9" descr="Сomo Polir Um Carro">
          <a:extLst>
            <a:ext uri="{FF2B5EF4-FFF2-40B4-BE49-F238E27FC236}">
              <a16:creationId xmlns:a16="http://schemas.microsoft.com/office/drawing/2014/main" id="{51355A84-4C84-B79C-55AB-7EDF896B6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95750" cy="9430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230765</xdr:colOff>
      <xdr:row>4</xdr:row>
      <xdr:rowOff>157884</xdr:rowOff>
    </xdr:from>
    <xdr:ext cx="2852063" cy="146989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C3089FF-E95A-3C7F-386B-025F67FFDD7C}"/>
            </a:ext>
          </a:extLst>
        </xdr:cNvPr>
        <xdr:cNvSpPr txBox="1"/>
      </xdr:nvSpPr>
      <xdr:spPr>
        <a:xfrm>
          <a:off x="453015" y="996084"/>
          <a:ext cx="2852063" cy="1469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400" b="1">
              <a:solidFill>
                <a:schemeClr val="tx1">
                  <a:lumMod val="50000"/>
                  <a:lumOff val="50000"/>
                </a:schemeClr>
              </a:solidFill>
            </a:rPr>
            <a:t>FUNILARIA</a:t>
          </a:r>
          <a:r>
            <a:rPr lang="en-GB" sz="4400" b="1" baseline="0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  <a:p>
          <a:r>
            <a:rPr lang="en-GB" sz="4400" b="1" baseline="0">
              <a:solidFill>
                <a:schemeClr val="tx1">
                  <a:lumMod val="50000"/>
                  <a:lumOff val="50000"/>
                </a:schemeClr>
              </a:solidFill>
            </a:rPr>
            <a:t>AUTO CAR</a:t>
          </a:r>
          <a:endParaRPr lang="en-GB" sz="44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</xdr:col>
      <xdr:colOff>292101</xdr:colOff>
      <xdr:row>13</xdr:row>
      <xdr:rowOff>146050</xdr:rowOff>
    </xdr:from>
    <xdr:to>
      <xdr:col>22</xdr:col>
      <xdr:colOff>254000</xdr:colOff>
      <xdr:row>45</xdr:row>
      <xdr:rowOff>95250</xdr:rowOff>
    </xdr:to>
    <xdr:sp macro="" textlink="">
      <xdr:nvSpPr>
        <xdr:cNvPr id="23" name="rect_shape_home" hidden="1">
          <a:extLst>
            <a:ext uri="{FF2B5EF4-FFF2-40B4-BE49-F238E27FC236}">
              <a16:creationId xmlns:a16="http://schemas.microsoft.com/office/drawing/2014/main" id="{ADAF495D-EBE6-BC41-89B1-04F34396E15B}"/>
            </a:ext>
          </a:extLst>
        </xdr:cNvPr>
        <xdr:cNvSpPr/>
      </xdr:nvSpPr>
      <xdr:spPr>
        <a:xfrm>
          <a:off x="920751" y="2743200"/>
          <a:ext cx="15081249" cy="6248400"/>
        </a:xfrm>
        <a:prstGeom prst="roundRect">
          <a:avLst>
            <a:gd name="adj" fmla="val 2519"/>
          </a:avLst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1">
            <a:solidFill>
              <a:schemeClr val="tx1"/>
            </a:solidFill>
          </a:endParaRPr>
        </a:p>
      </xdr:txBody>
    </xdr:sp>
    <xdr:clientData/>
  </xdr:twoCellAnchor>
  <xdr:oneCellAnchor>
    <xdr:from>
      <xdr:col>2</xdr:col>
      <xdr:colOff>1613202</xdr:colOff>
      <xdr:row>45</xdr:row>
      <xdr:rowOff>130522</xdr:rowOff>
    </xdr:from>
    <xdr:ext cx="11004247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5306CE9-6A6C-FF4D-B838-7C7B16546EFC}"/>
            </a:ext>
          </a:extLst>
        </xdr:cNvPr>
        <xdr:cNvSpPr txBox="1"/>
      </xdr:nvSpPr>
      <xdr:spPr>
        <a:xfrm>
          <a:off x="2540302" y="9026872"/>
          <a:ext cx="1100424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="0" i="0" u="none" strike="noStrike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Rua Harry Hadick, 13 - Vila Remo, São Paulo - SP -</a:t>
          </a:r>
          <a:r>
            <a:rPr lang="en-GB" sz="1400" b="0" i="0" u="none" strike="noStrike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400" b="0" i="0" u="none" strike="noStrike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Brasil - +55 (11) 9 5788-4745 - CNPJ: 44.951.415/0001-16 - email: shielvis@hotmail.com</a:t>
          </a:r>
          <a:endParaRPr lang="en-GB" sz="6600" b="1" baseline="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twoCellAnchor>
    <xdr:from>
      <xdr:col>2</xdr:col>
      <xdr:colOff>469506</xdr:colOff>
      <xdr:row>17</xdr:row>
      <xdr:rowOff>190436</xdr:rowOff>
    </xdr:from>
    <xdr:to>
      <xdr:col>3</xdr:col>
      <xdr:colOff>59137</xdr:colOff>
      <xdr:row>20</xdr:row>
      <xdr:rowOff>137647</xdr:rowOff>
    </xdr:to>
    <xdr:sp macro="[0]!GetAllClientes" textlink="">
      <xdr:nvSpPr>
        <xdr:cNvPr id="13" name="btn_home_clientes" hidden="1">
          <a:extLst>
            <a:ext uri="{FF2B5EF4-FFF2-40B4-BE49-F238E27FC236}">
              <a16:creationId xmlns:a16="http://schemas.microsoft.com/office/drawing/2014/main" id="{3427CED0-6A4E-E09E-CEB7-C3D79C9B174E}"/>
            </a:ext>
          </a:extLst>
        </xdr:cNvPr>
        <xdr:cNvSpPr/>
      </xdr:nvSpPr>
      <xdr:spPr>
        <a:xfrm>
          <a:off x="1396606" y="3574986"/>
          <a:ext cx="2466181" cy="53776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7111B"/>
              </a:solidFill>
            </a:rPr>
            <a:t>Nossos Clientes</a:t>
          </a:r>
        </a:p>
      </xdr:txBody>
    </xdr:sp>
    <xdr:clientData/>
  </xdr:twoCellAnchor>
  <xdr:twoCellAnchor>
    <xdr:from>
      <xdr:col>2</xdr:col>
      <xdr:colOff>486248</xdr:colOff>
      <xdr:row>33</xdr:row>
      <xdr:rowOff>180784</xdr:rowOff>
    </xdr:from>
    <xdr:to>
      <xdr:col>3</xdr:col>
      <xdr:colOff>75879</xdr:colOff>
      <xdr:row>36</xdr:row>
      <xdr:rowOff>145843</xdr:rowOff>
    </xdr:to>
    <xdr:sp macro="[0]!GetAllServicos" textlink="">
      <xdr:nvSpPr>
        <xdr:cNvPr id="14" name="btn_home_servicos" hidden="1">
          <a:extLst>
            <a:ext uri="{FF2B5EF4-FFF2-40B4-BE49-F238E27FC236}">
              <a16:creationId xmlns:a16="http://schemas.microsoft.com/office/drawing/2014/main" id="{C55B46BF-0D00-F74A-988C-06DAAFB93EB4}"/>
            </a:ext>
          </a:extLst>
        </xdr:cNvPr>
        <xdr:cNvSpPr/>
      </xdr:nvSpPr>
      <xdr:spPr>
        <a:xfrm>
          <a:off x="1413348" y="6714934"/>
          <a:ext cx="2466181" cy="5556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7111B"/>
              </a:solidFill>
            </a:rPr>
            <a:t>Serviços Oferecidos</a:t>
          </a:r>
        </a:p>
      </xdr:txBody>
    </xdr:sp>
    <xdr:clientData/>
  </xdr:twoCellAnchor>
  <xdr:twoCellAnchor>
    <xdr:from>
      <xdr:col>2</xdr:col>
      <xdr:colOff>468353</xdr:colOff>
      <xdr:row>24</xdr:row>
      <xdr:rowOff>42930</xdr:rowOff>
    </xdr:from>
    <xdr:to>
      <xdr:col>3</xdr:col>
      <xdr:colOff>57984</xdr:colOff>
      <xdr:row>27</xdr:row>
      <xdr:rowOff>8606</xdr:rowOff>
    </xdr:to>
    <xdr:sp macro="[0]!GetAllMateriais" textlink="">
      <xdr:nvSpPr>
        <xdr:cNvPr id="15" name="btn_home_materiais" hidden="1">
          <a:extLst>
            <a:ext uri="{FF2B5EF4-FFF2-40B4-BE49-F238E27FC236}">
              <a16:creationId xmlns:a16="http://schemas.microsoft.com/office/drawing/2014/main" id="{ED61FCE7-7A78-CC4F-93EC-AE18CBDA14F8}"/>
            </a:ext>
          </a:extLst>
        </xdr:cNvPr>
        <xdr:cNvSpPr/>
      </xdr:nvSpPr>
      <xdr:spPr>
        <a:xfrm>
          <a:off x="1395453" y="4805430"/>
          <a:ext cx="2466181" cy="5562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A1828"/>
              </a:solidFill>
            </a:rPr>
            <a:t>Materiais que Trabalhamos</a:t>
          </a:r>
        </a:p>
      </xdr:txBody>
    </xdr:sp>
    <xdr:clientData/>
  </xdr:twoCellAnchor>
  <xdr:twoCellAnchor>
    <xdr:from>
      <xdr:col>2</xdr:col>
      <xdr:colOff>462003</xdr:colOff>
      <xdr:row>21</xdr:row>
      <xdr:rowOff>24907</xdr:rowOff>
    </xdr:from>
    <xdr:to>
      <xdr:col>3</xdr:col>
      <xdr:colOff>51634</xdr:colOff>
      <xdr:row>23</xdr:row>
      <xdr:rowOff>169393</xdr:rowOff>
    </xdr:to>
    <xdr:sp macro="[0]!GetAllFornecedores" textlink="">
      <xdr:nvSpPr>
        <xdr:cNvPr id="17" name="btn_home_fornecedores" hidden="1">
          <a:extLst>
            <a:ext uri="{FF2B5EF4-FFF2-40B4-BE49-F238E27FC236}">
              <a16:creationId xmlns:a16="http://schemas.microsoft.com/office/drawing/2014/main" id="{65C0E7F9-D1D6-004A-AACA-EDD9C409048A}"/>
            </a:ext>
          </a:extLst>
        </xdr:cNvPr>
        <xdr:cNvSpPr/>
      </xdr:nvSpPr>
      <xdr:spPr>
        <a:xfrm>
          <a:off x="1389103" y="4196857"/>
          <a:ext cx="2466181" cy="5381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A1828"/>
              </a:solidFill>
            </a:rPr>
            <a:t>Nossos Fornecedores</a:t>
          </a:r>
        </a:p>
      </xdr:txBody>
    </xdr:sp>
    <xdr:clientData/>
  </xdr:twoCellAnchor>
  <xdr:twoCellAnchor>
    <xdr:from>
      <xdr:col>2</xdr:col>
      <xdr:colOff>486248</xdr:colOff>
      <xdr:row>37</xdr:row>
      <xdr:rowOff>33864</xdr:rowOff>
    </xdr:from>
    <xdr:to>
      <xdr:col>3</xdr:col>
      <xdr:colOff>75879</xdr:colOff>
      <xdr:row>39</xdr:row>
      <xdr:rowOff>194490</xdr:rowOff>
    </xdr:to>
    <xdr:sp macro="[0]!GetAllEstoqueCompra" textlink="">
      <xdr:nvSpPr>
        <xdr:cNvPr id="19" name="btn_home_movimentacao_estoque" hidden="1">
          <a:extLst>
            <a:ext uri="{FF2B5EF4-FFF2-40B4-BE49-F238E27FC236}">
              <a16:creationId xmlns:a16="http://schemas.microsoft.com/office/drawing/2014/main" id="{353A8302-FA80-854E-B9D3-9FEED3A8A669}"/>
            </a:ext>
          </a:extLst>
        </xdr:cNvPr>
        <xdr:cNvSpPr/>
      </xdr:nvSpPr>
      <xdr:spPr>
        <a:xfrm>
          <a:off x="1413348" y="7355414"/>
          <a:ext cx="2466181" cy="5543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>
              <a:solidFill>
                <a:srgbClr val="0A1828"/>
              </a:solidFill>
            </a:rPr>
            <a:t>Registro de Compra de Material</a:t>
          </a:r>
          <a:endParaRPr lang="en-GB" sz="1200" b="1">
            <a:solidFill>
              <a:srgbClr val="0A1828"/>
            </a:solidFill>
          </a:endParaRPr>
        </a:p>
      </xdr:txBody>
    </xdr:sp>
    <xdr:clientData/>
  </xdr:twoCellAnchor>
  <xdr:twoCellAnchor>
    <xdr:from>
      <xdr:col>2</xdr:col>
      <xdr:colOff>472392</xdr:colOff>
      <xdr:row>30</xdr:row>
      <xdr:rowOff>136735</xdr:rowOff>
    </xdr:from>
    <xdr:to>
      <xdr:col>3</xdr:col>
      <xdr:colOff>62023</xdr:colOff>
      <xdr:row>33</xdr:row>
      <xdr:rowOff>102411</xdr:rowOff>
    </xdr:to>
    <xdr:sp macro="[0]!GetAllFuncionarios" textlink="">
      <xdr:nvSpPr>
        <xdr:cNvPr id="20" name="btn_home_usuarios" hidden="1">
          <a:extLst>
            <a:ext uri="{FF2B5EF4-FFF2-40B4-BE49-F238E27FC236}">
              <a16:creationId xmlns:a16="http://schemas.microsoft.com/office/drawing/2014/main" id="{66B69262-6647-984E-8BB0-58285AD21E6F}"/>
            </a:ext>
          </a:extLst>
        </xdr:cNvPr>
        <xdr:cNvSpPr/>
      </xdr:nvSpPr>
      <xdr:spPr>
        <a:xfrm>
          <a:off x="1399492" y="6080335"/>
          <a:ext cx="2466181" cy="5562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7111B"/>
              </a:solidFill>
            </a:rPr>
            <a:t>Usuários do Sistema</a:t>
          </a:r>
        </a:p>
      </xdr:txBody>
    </xdr:sp>
    <xdr:clientData/>
  </xdr:twoCellAnchor>
  <xdr:oneCellAnchor>
    <xdr:from>
      <xdr:col>2</xdr:col>
      <xdr:colOff>368877</xdr:colOff>
      <xdr:row>14</xdr:row>
      <xdr:rowOff>22152</xdr:rowOff>
    </xdr:from>
    <xdr:ext cx="3441455" cy="530658"/>
    <xdr:sp macro="" textlink="">
      <xdr:nvSpPr>
        <xdr:cNvPr id="22" name="txtbox_cadastros_consultas" hidden="1">
          <a:extLst>
            <a:ext uri="{FF2B5EF4-FFF2-40B4-BE49-F238E27FC236}">
              <a16:creationId xmlns:a16="http://schemas.microsoft.com/office/drawing/2014/main" id="{ED739296-0F1A-F64D-9904-E74A229DA439}"/>
            </a:ext>
          </a:extLst>
        </xdr:cNvPr>
        <xdr:cNvSpPr txBox="1"/>
      </xdr:nvSpPr>
      <xdr:spPr>
        <a:xfrm>
          <a:off x="889577" y="2701852"/>
          <a:ext cx="3441455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800" b="1" baseline="0">
              <a:solidFill>
                <a:schemeClr val="bg1"/>
              </a:solidFill>
            </a:rPr>
            <a:t>Cadastros e Consultas</a:t>
          </a:r>
        </a:p>
      </xdr:txBody>
    </xdr:sp>
    <xdr:clientData/>
  </xdr:oneCellAnchor>
  <xdr:oneCellAnchor>
    <xdr:from>
      <xdr:col>10</xdr:col>
      <xdr:colOff>343477</xdr:colOff>
      <xdr:row>14</xdr:row>
      <xdr:rowOff>22152</xdr:rowOff>
    </xdr:from>
    <xdr:ext cx="3268523" cy="530658"/>
    <xdr:sp macro="" textlink="">
      <xdr:nvSpPr>
        <xdr:cNvPr id="24" name="txtbox_servicos_orcamentos" hidden="1">
          <a:extLst>
            <a:ext uri="{FF2B5EF4-FFF2-40B4-BE49-F238E27FC236}">
              <a16:creationId xmlns:a16="http://schemas.microsoft.com/office/drawing/2014/main" id="{097A4E85-FD20-8548-8D9C-530414307ABB}"/>
            </a:ext>
          </a:extLst>
        </xdr:cNvPr>
        <xdr:cNvSpPr txBox="1"/>
      </xdr:nvSpPr>
      <xdr:spPr>
        <a:xfrm>
          <a:off x="8547677" y="2816152"/>
          <a:ext cx="3268523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800" b="1" baseline="0">
              <a:solidFill>
                <a:schemeClr val="bg1"/>
              </a:solidFill>
            </a:rPr>
            <a:t>Serviços e Relatórios</a:t>
          </a:r>
        </a:p>
      </xdr:txBody>
    </xdr:sp>
    <xdr:clientData/>
  </xdr:oneCellAnchor>
  <xdr:twoCellAnchor>
    <xdr:from>
      <xdr:col>10</xdr:col>
      <xdr:colOff>403313</xdr:colOff>
      <xdr:row>17</xdr:row>
      <xdr:rowOff>127370</xdr:rowOff>
    </xdr:from>
    <xdr:to>
      <xdr:col>14</xdr:col>
      <xdr:colOff>358851</xdr:colOff>
      <xdr:row>20</xdr:row>
      <xdr:rowOff>92428</xdr:rowOff>
    </xdr:to>
    <xdr:sp macro="[0]!GetAllOrdemServico" textlink="">
      <xdr:nvSpPr>
        <xdr:cNvPr id="27" name="btn_home_ordem_de_servicos" hidden="1">
          <a:extLst>
            <a:ext uri="{FF2B5EF4-FFF2-40B4-BE49-F238E27FC236}">
              <a16:creationId xmlns:a16="http://schemas.microsoft.com/office/drawing/2014/main" id="{69CEA932-30B8-4048-8EF6-AD99F88423F3}"/>
            </a:ext>
          </a:extLst>
        </xdr:cNvPr>
        <xdr:cNvSpPr/>
      </xdr:nvSpPr>
      <xdr:spPr>
        <a:xfrm>
          <a:off x="8607513" y="3511920"/>
          <a:ext cx="2470138" cy="5556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A1828"/>
              </a:solidFill>
            </a:rPr>
            <a:t>Ordem</a:t>
          </a:r>
          <a:r>
            <a:rPr lang="en-GB" sz="1400" b="1" baseline="0">
              <a:solidFill>
                <a:srgbClr val="0A1828"/>
              </a:solidFill>
            </a:rPr>
            <a:t> de Serviço</a:t>
          </a:r>
          <a:endParaRPr lang="en-GB" sz="1400" b="1">
            <a:solidFill>
              <a:srgbClr val="0A1828"/>
            </a:solidFill>
          </a:endParaRPr>
        </a:p>
      </xdr:txBody>
    </xdr:sp>
    <xdr:clientData/>
  </xdr:twoCellAnchor>
  <xdr:oneCellAnchor>
    <xdr:from>
      <xdr:col>1</xdr:col>
      <xdr:colOff>211715</xdr:colOff>
      <xdr:row>4</xdr:row>
      <xdr:rowOff>145184</xdr:rowOff>
    </xdr:from>
    <xdr:ext cx="2852063" cy="146989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E882B9-833A-7C40-AD97-233173CEDF5E}"/>
            </a:ext>
          </a:extLst>
        </xdr:cNvPr>
        <xdr:cNvSpPr txBox="1"/>
      </xdr:nvSpPr>
      <xdr:spPr>
        <a:xfrm>
          <a:off x="840365" y="970684"/>
          <a:ext cx="2852063" cy="1469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400" b="1">
              <a:solidFill>
                <a:schemeClr val="bg1"/>
              </a:solidFill>
            </a:rPr>
            <a:t>FUNILARIA</a:t>
          </a:r>
          <a:r>
            <a:rPr lang="en-GB" sz="4400" b="1" baseline="0">
              <a:solidFill>
                <a:schemeClr val="bg1"/>
              </a:solidFill>
            </a:rPr>
            <a:t> </a:t>
          </a:r>
        </a:p>
        <a:p>
          <a:r>
            <a:rPr lang="en-GB" sz="4400" b="1" baseline="0">
              <a:solidFill>
                <a:schemeClr val="bg1"/>
              </a:solidFill>
            </a:rPr>
            <a:t>AUTO CAR</a:t>
          </a:r>
          <a:endParaRPr lang="en-GB" sz="4400" b="1">
            <a:solidFill>
              <a:schemeClr val="bg1"/>
            </a:solidFill>
          </a:endParaRPr>
        </a:p>
      </xdr:txBody>
    </xdr:sp>
    <xdr:clientData/>
  </xdr:oneCellAnchor>
  <xdr:twoCellAnchor>
    <xdr:from>
      <xdr:col>20</xdr:col>
      <xdr:colOff>376503</xdr:colOff>
      <xdr:row>0</xdr:row>
      <xdr:rowOff>143934</xdr:rowOff>
    </xdr:from>
    <xdr:to>
      <xdr:col>22</xdr:col>
      <xdr:colOff>262203</xdr:colOff>
      <xdr:row>2</xdr:row>
      <xdr:rowOff>23071</xdr:rowOff>
    </xdr:to>
    <xdr:grpSp>
      <xdr:nvGrpSpPr>
        <xdr:cNvPr id="7" name="btn_home_sair" hidden="1">
          <a:extLst>
            <a:ext uri="{FF2B5EF4-FFF2-40B4-BE49-F238E27FC236}">
              <a16:creationId xmlns:a16="http://schemas.microsoft.com/office/drawing/2014/main" id="{2F73E788-4D17-C6FB-2001-FF6DF73B5842}"/>
            </a:ext>
          </a:extLst>
        </xdr:cNvPr>
        <xdr:cNvGrpSpPr/>
      </xdr:nvGrpSpPr>
      <xdr:grpSpPr>
        <a:xfrm>
          <a:off x="15565703" y="143934"/>
          <a:ext cx="1143000" cy="272837"/>
          <a:chOff x="13070153" y="1064684"/>
          <a:chExt cx="1143000" cy="272837"/>
        </a:xfrm>
      </xdr:grpSpPr>
      <xdr:sp macro="[0]!SairDoSistema" textlink="">
        <xdr:nvSpPr>
          <xdr:cNvPr id="6" name="Rounded Rectangle 12" hidden="1">
            <a:extLst>
              <a:ext uri="{FF2B5EF4-FFF2-40B4-BE49-F238E27FC236}">
                <a16:creationId xmlns:a16="http://schemas.microsoft.com/office/drawing/2014/main" id="{102DA0F8-0475-4718-87A7-24449F3BA388}"/>
              </a:ext>
            </a:extLst>
          </xdr:cNvPr>
          <xdr:cNvSpPr/>
        </xdr:nvSpPr>
        <xdr:spPr>
          <a:xfrm>
            <a:off x="13070153" y="1064684"/>
            <a:ext cx="1143000" cy="27283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rgbClr val="C00000"/>
                </a:solidFill>
              </a:rPr>
              <a:t> Sair</a:t>
            </a:r>
          </a:p>
        </xdr:txBody>
      </xdr:sp>
      <xdr:pic>
        <xdr:nvPicPr>
          <xdr:cNvPr id="5" name="Graphic 4" descr="Sair" hidden="1">
            <a:extLst>
              <a:ext uri="{FF2B5EF4-FFF2-40B4-BE49-F238E27FC236}">
                <a16:creationId xmlns:a16="http://schemas.microsoft.com/office/drawing/2014/main" id="{5C749020-AC02-585E-805C-70A4F52A9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163550" y="10858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414602</xdr:colOff>
      <xdr:row>21</xdr:row>
      <xdr:rowOff>65281</xdr:rowOff>
    </xdr:from>
    <xdr:to>
      <xdr:col>14</xdr:col>
      <xdr:colOff>370140</xdr:colOff>
      <xdr:row>24</xdr:row>
      <xdr:rowOff>30339</xdr:rowOff>
    </xdr:to>
    <xdr:sp macro="[0]!OpenRelatorio" textlink="">
      <xdr:nvSpPr>
        <xdr:cNvPr id="4" name="btn_home_relatorio_estoqque" hidden="1">
          <a:extLst>
            <a:ext uri="{FF2B5EF4-FFF2-40B4-BE49-F238E27FC236}">
              <a16:creationId xmlns:a16="http://schemas.microsoft.com/office/drawing/2014/main" id="{D90D0753-AEE4-4F08-8BA4-4199230BCE77}"/>
            </a:ext>
          </a:extLst>
        </xdr:cNvPr>
        <xdr:cNvSpPr/>
      </xdr:nvSpPr>
      <xdr:spPr>
        <a:xfrm>
          <a:off x="8618802" y="4237231"/>
          <a:ext cx="2470138" cy="5556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0A1828"/>
              </a:solidFill>
            </a:rPr>
            <a:t>Relatório de Controle de Estoque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736600</xdr:colOff>
      <xdr:row>1</xdr:row>
      <xdr:rowOff>76200</xdr:rowOff>
    </xdr:from>
    <xdr:to>
      <xdr:col>18</xdr:col>
      <xdr:colOff>12700</xdr:colOff>
      <xdr:row>2</xdr:row>
      <xdr:rowOff>152187</xdr:rowOff>
    </xdr:to>
    <xdr:sp macro="[0]!OpenFormFuncionario" textlink="">
      <xdr:nvSpPr>
        <xdr:cNvPr id="3" name="Rounded Rectangle 12">
          <a:extLst>
            <a:ext uri="{FF2B5EF4-FFF2-40B4-BE49-F238E27FC236}">
              <a16:creationId xmlns:a16="http://schemas.microsoft.com/office/drawing/2014/main" id="{23A17983-5583-4301-BD5F-65CC0F05E024}"/>
            </a:ext>
          </a:extLst>
        </xdr:cNvPr>
        <xdr:cNvSpPr/>
      </xdr:nvSpPr>
      <xdr:spPr>
        <a:xfrm>
          <a:off x="15582900" y="273050"/>
          <a:ext cx="114300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7111B"/>
              </a:solidFill>
            </a:rPr>
            <a:t>+ Novo</a:t>
          </a:r>
        </a:p>
      </xdr:txBody>
    </xdr:sp>
    <xdr:clientData/>
  </xdr:twoCellAnchor>
  <xdr:twoCellAnchor>
    <xdr:from>
      <xdr:col>15</xdr:col>
      <xdr:colOff>241300</xdr:colOff>
      <xdr:row>1</xdr:row>
      <xdr:rowOff>82550</xdr:rowOff>
    </xdr:from>
    <xdr:to>
      <xdr:col>16</xdr:col>
      <xdr:colOff>622300</xdr:colOff>
      <xdr:row>2</xdr:row>
      <xdr:rowOff>158537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E165F3E-1136-87AC-6A95-D993F1276352}"/>
            </a:ext>
          </a:extLst>
        </xdr:cNvPr>
        <xdr:cNvGrpSpPr/>
      </xdr:nvGrpSpPr>
      <xdr:grpSpPr>
        <a:xfrm>
          <a:off x="14287500" y="273050"/>
          <a:ext cx="1143000" cy="266487"/>
          <a:chOff x="14325600" y="279400"/>
          <a:chExt cx="1143000" cy="272837"/>
        </a:xfrm>
      </xdr:grpSpPr>
      <xdr:sp macro="[0]!OpenFormSearchFuncionarioPorCpf" textlink="">
        <xdr:nvSpPr>
          <xdr:cNvPr id="7" name="Rounded Rectangle 12">
            <a:extLst>
              <a:ext uri="{FF2B5EF4-FFF2-40B4-BE49-F238E27FC236}">
                <a16:creationId xmlns:a16="http://schemas.microsoft.com/office/drawing/2014/main" id="{AC3960E5-E74B-5CB5-5E06-F8DEF741ED75}"/>
              </a:ext>
            </a:extLst>
          </xdr:cNvPr>
          <xdr:cNvSpPr/>
        </xdr:nvSpPr>
        <xdr:spPr>
          <a:xfrm>
            <a:off x="14325600" y="279400"/>
            <a:ext cx="1143000" cy="27283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rgbClr val="07111B"/>
                </a:solidFill>
              </a:rPr>
              <a:t> Pesquisar</a:t>
            </a:r>
          </a:p>
        </xdr:txBody>
      </xdr:sp>
      <xdr:sp macro="[0]!OpenFormSearchClientePorCpf" textlink="">
        <xdr:nvSpPr>
          <xdr:cNvPr id="8" name="Graphic 6" descr="Pesquisar cliente&#10;">
            <a:extLst>
              <a:ext uri="{FF2B5EF4-FFF2-40B4-BE49-F238E27FC236}">
                <a16:creationId xmlns:a16="http://schemas.microsoft.com/office/drawing/2014/main" id="{C5B8573C-6654-730B-E4B2-DB1AABF34931}"/>
              </a:ext>
            </a:extLst>
          </xdr:cNvPr>
          <xdr:cNvSpPr/>
        </xdr:nvSpPr>
        <xdr:spPr>
          <a:xfrm>
            <a:off x="14362370" y="349249"/>
            <a:ext cx="179130" cy="163933"/>
          </a:xfrm>
          <a:custGeom>
            <a:avLst/>
            <a:gdLst>
              <a:gd name="connsiteX0" fmla="*/ 183118 w 187970"/>
              <a:gd name="connsiteY0" fmla="*/ 159544 h 188118"/>
              <a:gd name="connsiteX1" fmla="*/ 153353 w 187970"/>
              <a:gd name="connsiteY1" fmla="*/ 129778 h 188118"/>
              <a:gd name="connsiteX2" fmla="*/ 138589 w 187970"/>
              <a:gd name="connsiteY2" fmla="*/ 125254 h 188118"/>
              <a:gd name="connsiteX3" fmla="*/ 128111 w 187970"/>
              <a:gd name="connsiteY3" fmla="*/ 114776 h 188118"/>
              <a:gd name="connsiteX4" fmla="*/ 142875 w 187970"/>
              <a:gd name="connsiteY4" fmla="*/ 71437 h 188118"/>
              <a:gd name="connsiteX5" fmla="*/ 71437 w 187970"/>
              <a:gd name="connsiteY5" fmla="*/ 0 h 188118"/>
              <a:gd name="connsiteX6" fmla="*/ 0 w 187970"/>
              <a:gd name="connsiteY6" fmla="*/ 71437 h 188118"/>
              <a:gd name="connsiteX7" fmla="*/ 71437 w 187970"/>
              <a:gd name="connsiteY7" fmla="*/ 142875 h 188118"/>
              <a:gd name="connsiteX8" fmla="*/ 114776 w 187970"/>
              <a:gd name="connsiteY8" fmla="*/ 128111 h 188118"/>
              <a:gd name="connsiteX9" fmla="*/ 125254 w 187970"/>
              <a:gd name="connsiteY9" fmla="*/ 138589 h 188118"/>
              <a:gd name="connsiteX10" fmla="*/ 129778 w 187970"/>
              <a:gd name="connsiteY10" fmla="*/ 153353 h 188118"/>
              <a:gd name="connsiteX11" fmla="*/ 159544 w 187970"/>
              <a:gd name="connsiteY11" fmla="*/ 183118 h 188118"/>
              <a:gd name="connsiteX12" fmla="*/ 171450 w 187970"/>
              <a:gd name="connsiteY12" fmla="*/ 188119 h 188118"/>
              <a:gd name="connsiteX13" fmla="*/ 183356 w 187970"/>
              <a:gd name="connsiteY13" fmla="*/ 183118 h 188118"/>
              <a:gd name="connsiteX14" fmla="*/ 183118 w 187970"/>
              <a:gd name="connsiteY14" fmla="*/ 159544 h 188118"/>
              <a:gd name="connsiteX15" fmla="*/ 71199 w 187970"/>
              <a:gd name="connsiteY15" fmla="*/ 128349 h 188118"/>
              <a:gd name="connsiteX16" fmla="*/ 14049 w 187970"/>
              <a:gd name="connsiteY16" fmla="*/ 71199 h 188118"/>
              <a:gd name="connsiteX17" fmla="*/ 71199 w 187970"/>
              <a:gd name="connsiteY17" fmla="*/ 14049 h 188118"/>
              <a:gd name="connsiteX18" fmla="*/ 128349 w 187970"/>
              <a:gd name="connsiteY18" fmla="*/ 71199 h 188118"/>
              <a:gd name="connsiteX19" fmla="*/ 71199 w 187970"/>
              <a:gd name="connsiteY19" fmla="*/ 128349 h 1881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187970" h="188118">
                <a:moveTo>
                  <a:pt x="183118" y="159544"/>
                </a:moveTo>
                <a:lnTo>
                  <a:pt x="153353" y="129778"/>
                </a:lnTo>
                <a:cubicBezTo>
                  <a:pt x="149304" y="125730"/>
                  <a:pt x="143828" y="124301"/>
                  <a:pt x="138589" y="125254"/>
                </a:cubicBezTo>
                <a:lnTo>
                  <a:pt x="128111" y="114776"/>
                </a:lnTo>
                <a:cubicBezTo>
                  <a:pt x="137398" y="102870"/>
                  <a:pt x="142875" y="87630"/>
                  <a:pt x="142875" y="71437"/>
                </a:cubicBezTo>
                <a:cubicBezTo>
                  <a:pt x="142875" y="32147"/>
                  <a:pt x="110728" y="0"/>
                  <a:pt x="71437" y="0"/>
                </a:cubicBezTo>
                <a:cubicBezTo>
                  <a:pt x="32147" y="0"/>
                  <a:pt x="0" y="32147"/>
                  <a:pt x="0" y="71437"/>
                </a:cubicBezTo>
                <a:cubicBezTo>
                  <a:pt x="0" y="110728"/>
                  <a:pt x="32147" y="142875"/>
                  <a:pt x="71437" y="142875"/>
                </a:cubicBezTo>
                <a:cubicBezTo>
                  <a:pt x="87630" y="142875"/>
                  <a:pt x="102632" y="137398"/>
                  <a:pt x="114776" y="128111"/>
                </a:cubicBezTo>
                <a:lnTo>
                  <a:pt x="125254" y="138589"/>
                </a:lnTo>
                <a:cubicBezTo>
                  <a:pt x="124301" y="143828"/>
                  <a:pt x="125730" y="149304"/>
                  <a:pt x="129778" y="153353"/>
                </a:cubicBezTo>
                <a:lnTo>
                  <a:pt x="159544" y="183118"/>
                </a:lnTo>
                <a:cubicBezTo>
                  <a:pt x="162878" y="186452"/>
                  <a:pt x="167164" y="188119"/>
                  <a:pt x="171450" y="188119"/>
                </a:cubicBezTo>
                <a:cubicBezTo>
                  <a:pt x="175736" y="188119"/>
                  <a:pt x="180022" y="186452"/>
                  <a:pt x="183356" y="183118"/>
                </a:cubicBezTo>
                <a:cubicBezTo>
                  <a:pt x="189547" y="176451"/>
                  <a:pt x="189547" y="165973"/>
                  <a:pt x="183118" y="159544"/>
                </a:cubicBezTo>
                <a:close/>
                <a:moveTo>
                  <a:pt x="71199" y="128349"/>
                </a:moveTo>
                <a:cubicBezTo>
                  <a:pt x="39767" y="128349"/>
                  <a:pt x="14049" y="102632"/>
                  <a:pt x="14049" y="71199"/>
                </a:cubicBezTo>
                <a:cubicBezTo>
                  <a:pt x="14049" y="39767"/>
                  <a:pt x="39767" y="14049"/>
                  <a:pt x="71199" y="14049"/>
                </a:cubicBezTo>
                <a:cubicBezTo>
                  <a:pt x="102632" y="14049"/>
                  <a:pt x="128349" y="39767"/>
                  <a:pt x="128349" y="71199"/>
                </a:cubicBezTo>
                <a:cubicBezTo>
                  <a:pt x="128349" y="102632"/>
                  <a:pt x="102632" y="128349"/>
                  <a:pt x="71199" y="128349"/>
                </a:cubicBezTo>
                <a:close/>
              </a:path>
            </a:pathLst>
          </a:custGeom>
          <a:solidFill>
            <a:schemeClr val="tx1"/>
          </a:solidFill>
          <a:ln w="2381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>
              <a:solidFill>
                <a:srgbClr val="07111B"/>
              </a:solidFill>
            </a:endParaRPr>
          </a:p>
        </xdr:txBody>
      </xdr:sp>
    </xdr:grpSp>
    <xdr:clientData/>
  </xdr:twoCellAnchor>
  <xdr:twoCellAnchor>
    <xdr:from>
      <xdr:col>0</xdr:col>
      <xdr:colOff>260350</xdr:colOff>
      <xdr:row>1</xdr:row>
      <xdr:rowOff>69850</xdr:rowOff>
    </xdr:from>
    <xdr:to>
      <xdr:col>2</xdr:col>
      <xdr:colOff>336550</xdr:colOff>
      <xdr:row>3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937162-BFD3-423B-82B2-E026A6A83804}"/>
            </a:ext>
          </a:extLst>
        </xdr:cNvPr>
        <xdr:cNvGrpSpPr/>
      </xdr:nvGrpSpPr>
      <xdr:grpSpPr>
        <a:xfrm>
          <a:off x="254000" y="260350"/>
          <a:ext cx="869950" cy="349250"/>
          <a:chOff x="212725" y="215900"/>
          <a:chExt cx="901700" cy="361950"/>
        </a:xfrm>
      </xdr:grpSpPr>
      <xdr:pic macro="[0]!GoHomeFromServicos">
        <xdr:nvPicPr>
          <xdr:cNvPr id="11" name="Graphic 10" descr="Home">
            <a:extLst>
              <a:ext uri="{FF2B5EF4-FFF2-40B4-BE49-F238E27FC236}">
                <a16:creationId xmlns:a16="http://schemas.microsoft.com/office/drawing/2014/main" id="{3A7AA0BC-B3E2-DCB4-64CB-27AB4A5989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Funcionarios" textlink="">
        <xdr:nvSpPr>
          <xdr:cNvPr id="12" name="TextBox 11">
            <a:extLst>
              <a:ext uri="{FF2B5EF4-FFF2-40B4-BE49-F238E27FC236}">
                <a16:creationId xmlns:a16="http://schemas.microsoft.com/office/drawing/2014/main" id="{15D155A7-93BD-DD67-944D-5737255B3121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1</xdr:row>
      <xdr:rowOff>108163</xdr:rowOff>
    </xdr:from>
    <xdr:to>
      <xdr:col>14</xdr:col>
      <xdr:colOff>0</xdr:colOff>
      <xdr:row>3</xdr:row>
      <xdr:rowOff>0</xdr:rowOff>
    </xdr:to>
    <xdr:sp macro="[0]!OpenFormCliente" textlink="">
      <xdr:nvSpPr>
        <xdr:cNvPr id="4" name="Rounded Rectangle 12">
          <a:extLst>
            <a:ext uri="{FF2B5EF4-FFF2-40B4-BE49-F238E27FC236}">
              <a16:creationId xmlns:a16="http://schemas.microsoft.com/office/drawing/2014/main" id="{B65F29DE-CF89-46D1-BCD5-4A638E565571}"/>
            </a:ext>
          </a:extLst>
        </xdr:cNvPr>
        <xdr:cNvSpPr/>
      </xdr:nvSpPr>
      <xdr:spPr>
        <a:xfrm>
          <a:off x="15722600" y="292313"/>
          <a:ext cx="958850" cy="2601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+ Novo</a:t>
          </a:r>
        </a:p>
      </xdr:txBody>
    </xdr:sp>
    <xdr:clientData/>
  </xdr:twoCellAnchor>
  <xdr:twoCellAnchor>
    <xdr:from>
      <xdr:col>12</xdr:col>
      <xdr:colOff>863600</xdr:colOff>
      <xdr:row>1</xdr:row>
      <xdr:rowOff>108163</xdr:rowOff>
    </xdr:from>
    <xdr:to>
      <xdr:col>13</xdr:col>
      <xdr:colOff>361950</xdr:colOff>
      <xdr:row>3</xdr:row>
      <xdr:rowOff>0</xdr:rowOff>
    </xdr:to>
    <xdr:sp macro="[0]!OpenFormSearchClientePorCpf" textlink="">
      <xdr:nvSpPr>
        <xdr:cNvPr id="13" name="Rounded Rectangle 12">
          <a:extLst>
            <a:ext uri="{FF2B5EF4-FFF2-40B4-BE49-F238E27FC236}">
              <a16:creationId xmlns:a16="http://schemas.microsoft.com/office/drawing/2014/main" id="{496B0B12-D7A1-40D9-8CC6-1116073A1199}"/>
            </a:ext>
          </a:extLst>
        </xdr:cNvPr>
        <xdr:cNvSpPr/>
      </xdr:nvSpPr>
      <xdr:spPr>
        <a:xfrm>
          <a:off x="14598650" y="292313"/>
          <a:ext cx="971550" cy="2601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     Pesquisar</a:t>
          </a:r>
        </a:p>
      </xdr:txBody>
    </xdr:sp>
    <xdr:clientData/>
  </xdr:twoCellAnchor>
  <xdr:twoCellAnchor>
    <xdr:from>
      <xdr:col>12</xdr:col>
      <xdr:colOff>922178</xdr:colOff>
      <xdr:row>1</xdr:row>
      <xdr:rowOff>145057</xdr:rowOff>
    </xdr:from>
    <xdr:to>
      <xdr:col>12</xdr:col>
      <xdr:colOff>1110148</xdr:colOff>
      <xdr:row>2</xdr:row>
      <xdr:rowOff>140268</xdr:rowOff>
    </xdr:to>
    <xdr:sp macro="[0]!OpenFormSearchClientePorCpf" textlink="">
      <xdr:nvSpPr>
        <xdr:cNvPr id="22" name="Graphic 6" descr="Pesquisar cliente&#10;">
          <a:extLst>
            <a:ext uri="{FF2B5EF4-FFF2-40B4-BE49-F238E27FC236}">
              <a16:creationId xmlns:a16="http://schemas.microsoft.com/office/drawing/2014/main" id="{2D16A8E1-9B4B-D824-E2EB-296F7EE78356}"/>
            </a:ext>
          </a:extLst>
        </xdr:cNvPr>
        <xdr:cNvSpPr/>
      </xdr:nvSpPr>
      <xdr:spPr>
        <a:xfrm>
          <a:off x="14657228" y="329207"/>
          <a:ext cx="187970" cy="179361"/>
        </a:xfrm>
        <a:custGeom>
          <a:avLst/>
          <a:gdLst>
            <a:gd name="connsiteX0" fmla="*/ 183118 w 187970"/>
            <a:gd name="connsiteY0" fmla="*/ 159544 h 188118"/>
            <a:gd name="connsiteX1" fmla="*/ 153353 w 187970"/>
            <a:gd name="connsiteY1" fmla="*/ 129778 h 188118"/>
            <a:gd name="connsiteX2" fmla="*/ 138589 w 187970"/>
            <a:gd name="connsiteY2" fmla="*/ 125254 h 188118"/>
            <a:gd name="connsiteX3" fmla="*/ 128111 w 187970"/>
            <a:gd name="connsiteY3" fmla="*/ 114776 h 188118"/>
            <a:gd name="connsiteX4" fmla="*/ 142875 w 187970"/>
            <a:gd name="connsiteY4" fmla="*/ 71437 h 188118"/>
            <a:gd name="connsiteX5" fmla="*/ 71437 w 187970"/>
            <a:gd name="connsiteY5" fmla="*/ 0 h 188118"/>
            <a:gd name="connsiteX6" fmla="*/ 0 w 187970"/>
            <a:gd name="connsiteY6" fmla="*/ 71437 h 188118"/>
            <a:gd name="connsiteX7" fmla="*/ 71437 w 187970"/>
            <a:gd name="connsiteY7" fmla="*/ 142875 h 188118"/>
            <a:gd name="connsiteX8" fmla="*/ 114776 w 187970"/>
            <a:gd name="connsiteY8" fmla="*/ 128111 h 188118"/>
            <a:gd name="connsiteX9" fmla="*/ 125254 w 187970"/>
            <a:gd name="connsiteY9" fmla="*/ 138589 h 188118"/>
            <a:gd name="connsiteX10" fmla="*/ 129778 w 187970"/>
            <a:gd name="connsiteY10" fmla="*/ 153353 h 188118"/>
            <a:gd name="connsiteX11" fmla="*/ 159544 w 187970"/>
            <a:gd name="connsiteY11" fmla="*/ 183118 h 188118"/>
            <a:gd name="connsiteX12" fmla="*/ 171450 w 187970"/>
            <a:gd name="connsiteY12" fmla="*/ 188119 h 188118"/>
            <a:gd name="connsiteX13" fmla="*/ 183356 w 187970"/>
            <a:gd name="connsiteY13" fmla="*/ 183118 h 188118"/>
            <a:gd name="connsiteX14" fmla="*/ 183118 w 187970"/>
            <a:gd name="connsiteY14" fmla="*/ 159544 h 188118"/>
            <a:gd name="connsiteX15" fmla="*/ 71199 w 187970"/>
            <a:gd name="connsiteY15" fmla="*/ 128349 h 188118"/>
            <a:gd name="connsiteX16" fmla="*/ 14049 w 187970"/>
            <a:gd name="connsiteY16" fmla="*/ 71199 h 188118"/>
            <a:gd name="connsiteX17" fmla="*/ 71199 w 187970"/>
            <a:gd name="connsiteY17" fmla="*/ 14049 h 188118"/>
            <a:gd name="connsiteX18" fmla="*/ 128349 w 187970"/>
            <a:gd name="connsiteY18" fmla="*/ 71199 h 188118"/>
            <a:gd name="connsiteX19" fmla="*/ 71199 w 187970"/>
            <a:gd name="connsiteY19" fmla="*/ 128349 h 1881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7970" h="188118">
              <a:moveTo>
                <a:pt x="183118" y="159544"/>
              </a:moveTo>
              <a:lnTo>
                <a:pt x="153353" y="129778"/>
              </a:lnTo>
              <a:cubicBezTo>
                <a:pt x="149304" y="125730"/>
                <a:pt x="143828" y="124301"/>
                <a:pt x="138589" y="125254"/>
              </a:cubicBezTo>
              <a:lnTo>
                <a:pt x="128111" y="114776"/>
              </a:lnTo>
              <a:cubicBezTo>
                <a:pt x="137398" y="102870"/>
                <a:pt x="142875" y="87630"/>
                <a:pt x="142875" y="71437"/>
              </a:cubicBezTo>
              <a:cubicBezTo>
                <a:pt x="142875" y="32147"/>
                <a:pt x="110728" y="0"/>
                <a:pt x="71437" y="0"/>
              </a:cubicBezTo>
              <a:cubicBezTo>
                <a:pt x="32147" y="0"/>
                <a:pt x="0" y="32147"/>
                <a:pt x="0" y="71437"/>
              </a:cubicBezTo>
              <a:cubicBezTo>
                <a:pt x="0" y="110728"/>
                <a:pt x="32147" y="142875"/>
                <a:pt x="71437" y="142875"/>
              </a:cubicBezTo>
              <a:cubicBezTo>
                <a:pt x="87630" y="142875"/>
                <a:pt x="102632" y="137398"/>
                <a:pt x="114776" y="128111"/>
              </a:cubicBezTo>
              <a:lnTo>
                <a:pt x="125254" y="138589"/>
              </a:lnTo>
              <a:cubicBezTo>
                <a:pt x="124301" y="143828"/>
                <a:pt x="125730" y="149304"/>
                <a:pt x="129778" y="153353"/>
              </a:cubicBezTo>
              <a:lnTo>
                <a:pt x="159544" y="183118"/>
              </a:lnTo>
              <a:cubicBezTo>
                <a:pt x="162878" y="186452"/>
                <a:pt x="167164" y="188119"/>
                <a:pt x="171450" y="188119"/>
              </a:cubicBezTo>
              <a:cubicBezTo>
                <a:pt x="175736" y="188119"/>
                <a:pt x="180022" y="186452"/>
                <a:pt x="183356" y="183118"/>
              </a:cubicBezTo>
              <a:cubicBezTo>
                <a:pt x="189547" y="176451"/>
                <a:pt x="189547" y="165973"/>
                <a:pt x="183118" y="159544"/>
              </a:cubicBezTo>
              <a:close/>
              <a:moveTo>
                <a:pt x="71199" y="128349"/>
              </a:moveTo>
              <a:cubicBezTo>
                <a:pt x="39767" y="128349"/>
                <a:pt x="14049" y="102632"/>
                <a:pt x="14049" y="71199"/>
              </a:cubicBezTo>
              <a:cubicBezTo>
                <a:pt x="14049" y="39767"/>
                <a:pt x="39767" y="14049"/>
                <a:pt x="71199" y="14049"/>
              </a:cubicBezTo>
              <a:cubicBezTo>
                <a:pt x="102632" y="14049"/>
                <a:pt x="128349" y="39767"/>
                <a:pt x="128349" y="71199"/>
              </a:cubicBezTo>
              <a:cubicBezTo>
                <a:pt x="128349" y="102632"/>
                <a:pt x="102632" y="128349"/>
                <a:pt x="71199" y="128349"/>
              </a:cubicBezTo>
              <a:close/>
            </a:path>
          </a:pathLst>
        </a:custGeom>
        <a:solidFill>
          <a:srgbClr val="07111B"/>
        </a:solidFill>
        <a:ln w="2381" cap="flat">
          <a:noFill/>
          <a:prstDash val="solid"/>
          <a:miter/>
        </a:ln>
      </xdr:spPr>
      <xdr:txBody>
        <a:bodyPr rtlCol="0" anchor="ctr"/>
        <a:lstStyle/>
        <a:p>
          <a:endParaRPr lang="en-US" sz="1100">
            <a:solidFill>
              <a:schemeClr val="tx2"/>
            </a:solidFill>
          </a:endParaRPr>
        </a:p>
      </xdr:txBody>
    </xdr:sp>
    <xdr:clientData/>
  </xdr:twoCellAnchor>
  <xdr:twoCellAnchor>
    <xdr:from>
      <xdr:col>0</xdr:col>
      <xdr:colOff>212725</xdr:colOff>
      <xdr:row>1</xdr:row>
      <xdr:rowOff>31750</xdr:rowOff>
    </xdr:from>
    <xdr:to>
      <xdr:col>2</xdr:col>
      <xdr:colOff>288925</xdr:colOff>
      <xdr:row>3</xdr:row>
      <xdr:rowOff>25400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91D2C23-3006-2E14-EA5D-6E5A14A61124}"/>
            </a:ext>
          </a:extLst>
        </xdr:cNvPr>
        <xdr:cNvGrpSpPr/>
      </xdr:nvGrpSpPr>
      <xdr:grpSpPr>
        <a:xfrm>
          <a:off x="212725" y="222250"/>
          <a:ext cx="927100" cy="374650"/>
          <a:chOff x="212725" y="215900"/>
          <a:chExt cx="901700" cy="361950"/>
        </a:xfrm>
      </xdr:grpSpPr>
      <xdr:pic>
        <xdr:nvPicPr>
          <xdr:cNvPr id="10" name="Graphic 9" descr="Home">
            <a:extLst>
              <a:ext uri="{FF2B5EF4-FFF2-40B4-BE49-F238E27FC236}">
                <a16:creationId xmlns:a16="http://schemas.microsoft.com/office/drawing/2014/main" id="{A6DE1BEB-239B-BB36-4009-54B7733E1F6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Clientes" textlink="">
        <xdr:nvSpPr>
          <xdr:cNvPr id="16" name="TextBox 15">
            <a:extLst>
              <a:ext uri="{FF2B5EF4-FFF2-40B4-BE49-F238E27FC236}">
                <a16:creationId xmlns:a16="http://schemas.microsoft.com/office/drawing/2014/main" id="{298DAE6F-9B52-7D32-4F23-0D5B4563AEB8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349250</xdr:colOff>
      <xdr:row>1</xdr:row>
      <xdr:rowOff>120863</xdr:rowOff>
    </xdr:from>
    <xdr:to>
      <xdr:col>6</xdr:col>
      <xdr:colOff>1308100</xdr:colOff>
      <xdr:row>2</xdr:row>
      <xdr:rowOff>184150</xdr:rowOff>
    </xdr:to>
    <xdr:sp macro="[0]!OpenFormServico" textlink="">
      <xdr:nvSpPr>
        <xdr:cNvPr id="2" name="Rounded Rectangle 12">
          <a:extLst>
            <a:ext uri="{FF2B5EF4-FFF2-40B4-BE49-F238E27FC236}">
              <a16:creationId xmlns:a16="http://schemas.microsoft.com/office/drawing/2014/main" id="{5FB10D77-FEE3-409D-82CC-DB1C58F3D73C}"/>
            </a:ext>
          </a:extLst>
        </xdr:cNvPr>
        <xdr:cNvSpPr/>
      </xdr:nvSpPr>
      <xdr:spPr>
        <a:xfrm>
          <a:off x="15703550" y="317713"/>
          <a:ext cx="958850" cy="2601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+ Novo</a:t>
          </a:r>
        </a:p>
      </xdr:txBody>
    </xdr:sp>
    <xdr:clientData/>
  </xdr:twoCellAnchor>
  <xdr:twoCellAnchor>
    <xdr:from>
      <xdr:col>0</xdr:col>
      <xdr:colOff>279400</xdr:colOff>
      <xdr:row>1</xdr:row>
      <xdr:rowOff>63500</xdr:rowOff>
    </xdr:from>
    <xdr:to>
      <xdr:col>2</xdr:col>
      <xdr:colOff>254000</xdr:colOff>
      <xdr:row>3</xdr:row>
      <xdr:rowOff>31750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D69A017-F9E6-48BD-92F7-05F5FA48AE05}"/>
            </a:ext>
          </a:extLst>
        </xdr:cNvPr>
        <xdr:cNvGrpSpPr/>
      </xdr:nvGrpSpPr>
      <xdr:grpSpPr>
        <a:xfrm>
          <a:off x="254000" y="254000"/>
          <a:ext cx="882650" cy="349250"/>
          <a:chOff x="212725" y="215900"/>
          <a:chExt cx="901700" cy="361950"/>
        </a:xfrm>
      </xdr:grpSpPr>
      <xdr:pic macro="[0]!GoHomeFromServicos">
        <xdr:nvPicPr>
          <xdr:cNvPr id="10" name="Graphic 9" descr="Home">
            <a:extLst>
              <a:ext uri="{FF2B5EF4-FFF2-40B4-BE49-F238E27FC236}">
                <a16:creationId xmlns:a16="http://schemas.microsoft.com/office/drawing/2014/main" id="{BD1705BF-07F7-B8B2-D55B-AC3329D3B30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Servicos" textlink="">
        <xdr:nvSpPr>
          <xdr:cNvPr id="11" name="TextBox 10">
            <a:extLst>
              <a:ext uri="{FF2B5EF4-FFF2-40B4-BE49-F238E27FC236}">
                <a16:creationId xmlns:a16="http://schemas.microsoft.com/office/drawing/2014/main" id="{F6FE7CC7-45B0-8679-B467-EB5C9D2DE735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50800</xdr:rowOff>
    </xdr:from>
    <xdr:to>
      <xdr:col>2</xdr:col>
      <xdr:colOff>463550</xdr:colOff>
      <xdr:row>3</xdr:row>
      <xdr:rowOff>44450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569E1FCE-32E7-45B5-9F5B-0E2640D3C16E}"/>
            </a:ext>
          </a:extLst>
        </xdr:cNvPr>
        <xdr:cNvGrpSpPr/>
      </xdr:nvGrpSpPr>
      <xdr:grpSpPr>
        <a:xfrm>
          <a:off x="254000" y="241300"/>
          <a:ext cx="927100" cy="374650"/>
          <a:chOff x="212725" y="215900"/>
          <a:chExt cx="901700" cy="361950"/>
        </a:xfrm>
      </xdr:grpSpPr>
      <xdr:pic macro="[0]!GoHomeFromFornecedor">
        <xdr:nvPicPr>
          <xdr:cNvPr id="9" name="Graphic 8" descr="Home">
            <a:extLst>
              <a:ext uri="{FF2B5EF4-FFF2-40B4-BE49-F238E27FC236}">
                <a16:creationId xmlns:a16="http://schemas.microsoft.com/office/drawing/2014/main" id="{FDADAEA7-EBF0-23B9-874F-A3C16712A1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Fornecedor" textlink="">
        <xdr:nvSpPr>
          <xdr:cNvPr id="10" name="TextBox 9">
            <a:extLst>
              <a:ext uri="{FF2B5EF4-FFF2-40B4-BE49-F238E27FC236}">
                <a16:creationId xmlns:a16="http://schemas.microsoft.com/office/drawing/2014/main" id="{0853272D-C318-0F38-2809-D4EA9BDB634F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  <xdr:twoCellAnchor>
    <xdr:from>
      <xdr:col>15</xdr:col>
      <xdr:colOff>552450</xdr:colOff>
      <xdr:row>1</xdr:row>
      <xdr:rowOff>101600</xdr:rowOff>
    </xdr:from>
    <xdr:to>
      <xdr:col>16</xdr:col>
      <xdr:colOff>749300</xdr:colOff>
      <xdr:row>2</xdr:row>
      <xdr:rowOff>183937</xdr:rowOff>
    </xdr:to>
    <xdr:sp macro="[0]!OpenFormFornecedor" textlink="">
      <xdr:nvSpPr>
        <xdr:cNvPr id="11" name="Rounded Rectangle 12">
          <a:extLst>
            <a:ext uri="{FF2B5EF4-FFF2-40B4-BE49-F238E27FC236}">
              <a16:creationId xmlns:a16="http://schemas.microsoft.com/office/drawing/2014/main" id="{7E617E5C-40E0-4134-B9FC-C81B6B82EDF6}"/>
            </a:ext>
          </a:extLst>
        </xdr:cNvPr>
        <xdr:cNvSpPr/>
      </xdr:nvSpPr>
      <xdr:spPr>
        <a:xfrm>
          <a:off x="15684500" y="292100"/>
          <a:ext cx="95885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+ Novo</a:t>
          </a:r>
        </a:p>
      </xdr:txBody>
    </xdr:sp>
    <xdr:clientData/>
  </xdr:twoCellAnchor>
  <xdr:twoCellAnchor>
    <xdr:from>
      <xdr:col>14</xdr:col>
      <xdr:colOff>565150</xdr:colOff>
      <xdr:row>1</xdr:row>
      <xdr:rowOff>101600</xdr:rowOff>
    </xdr:from>
    <xdr:to>
      <xdr:col>15</xdr:col>
      <xdr:colOff>400050</xdr:colOff>
      <xdr:row>2</xdr:row>
      <xdr:rowOff>183937</xdr:rowOff>
    </xdr:to>
    <xdr:sp macro="[0]!OpenFormSearchFornecedorPorCnpj" textlink="">
      <xdr:nvSpPr>
        <xdr:cNvPr id="12" name="Rounded Rectangle 12">
          <a:extLst>
            <a:ext uri="{FF2B5EF4-FFF2-40B4-BE49-F238E27FC236}">
              <a16:creationId xmlns:a16="http://schemas.microsoft.com/office/drawing/2014/main" id="{9762D888-1229-4A83-B490-4948434F8747}"/>
            </a:ext>
          </a:extLst>
        </xdr:cNvPr>
        <xdr:cNvSpPr/>
      </xdr:nvSpPr>
      <xdr:spPr>
        <a:xfrm>
          <a:off x="14560550" y="292100"/>
          <a:ext cx="97155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     Pesquisar</a:t>
          </a:r>
        </a:p>
      </xdr:txBody>
    </xdr:sp>
    <xdr:clientData/>
  </xdr:twoCellAnchor>
  <xdr:twoCellAnchor>
    <xdr:from>
      <xdr:col>14</xdr:col>
      <xdr:colOff>623728</xdr:colOff>
      <xdr:row>1</xdr:row>
      <xdr:rowOff>138494</xdr:rowOff>
    </xdr:from>
    <xdr:to>
      <xdr:col>14</xdr:col>
      <xdr:colOff>811698</xdr:colOff>
      <xdr:row>2</xdr:row>
      <xdr:rowOff>133705</xdr:rowOff>
    </xdr:to>
    <xdr:sp macro="[0]!OpenFormSearchClientePorCpf" textlink="">
      <xdr:nvSpPr>
        <xdr:cNvPr id="13" name="Graphic 6" descr="Pesquisar cliente&#10;">
          <a:extLst>
            <a:ext uri="{FF2B5EF4-FFF2-40B4-BE49-F238E27FC236}">
              <a16:creationId xmlns:a16="http://schemas.microsoft.com/office/drawing/2014/main" id="{1C43132D-E9C2-4ADA-AE87-9BB602428457}"/>
            </a:ext>
          </a:extLst>
        </xdr:cNvPr>
        <xdr:cNvSpPr/>
      </xdr:nvSpPr>
      <xdr:spPr>
        <a:xfrm>
          <a:off x="14619128" y="328994"/>
          <a:ext cx="187970" cy="185711"/>
        </a:xfrm>
        <a:custGeom>
          <a:avLst/>
          <a:gdLst>
            <a:gd name="connsiteX0" fmla="*/ 183118 w 187970"/>
            <a:gd name="connsiteY0" fmla="*/ 159544 h 188118"/>
            <a:gd name="connsiteX1" fmla="*/ 153353 w 187970"/>
            <a:gd name="connsiteY1" fmla="*/ 129778 h 188118"/>
            <a:gd name="connsiteX2" fmla="*/ 138589 w 187970"/>
            <a:gd name="connsiteY2" fmla="*/ 125254 h 188118"/>
            <a:gd name="connsiteX3" fmla="*/ 128111 w 187970"/>
            <a:gd name="connsiteY3" fmla="*/ 114776 h 188118"/>
            <a:gd name="connsiteX4" fmla="*/ 142875 w 187970"/>
            <a:gd name="connsiteY4" fmla="*/ 71437 h 188118"/>
            <a:gd name="connsiteX5" fmla="*/ 71437 w 187970"/>
            <a:gd name="connsiteY5" fmla="*/ 0 h 188118"/>
            <a:gd name="connsiteX6" fmla="*/ 0 w 187970"/>
            <a:gd name="connsiteY6" fmla="*/ 71437 h 188118"/>
            <a:gd name="connsiteX7" fmla="*/ 71437 w 187970"/>
            <a:gd name="connsiteY7" fmla="*/ 142875 h 188118"/>
            <a:gd name="connsiteX8" fmla="*/ 114776 w 187970"/>
            <a:gd name="connsiteY8" fmla="*/ 128111 h 188118"/>
            <a:gd name="connsiteX9" fmla="*/ 125254 w 187970"/>
            <a:gd name="connsiteY9" fmla="*/ 138589 h 188118"/>
            <a:gd name="connsiteX10" fmla="*/ 129778 w 187970"/>
            <a:gd name="connsiteY10" fmla="*/ 153353 h 188118"/>
            <a:gd name="connsiteX11" fmla="*/ 159544 w 187970"/>
            <a:gd name="connsiteY11" fmla="*/ 183118 h 188118"/>
            <a:gd name="connsiteX12" fmla="*/ 171450 w 187970"/>
            <a:gd name="connsiteY12" fmla="*/ 188119 h 188118"/>
            <a:gd name="connsiteX13" fmla="*/ 183356 w 187970"/>
            <a:gd name="connsiteY13" fmla="*/ 183118 h 188118"/>
            <a:gd name="connsiteX14" fmla="*/ 183118 w 187970"/>
            <a:gd name="connsiteY14" fmla="*/ 159544 h 188118"/>
            <a:gd name="connsiteX15" fmla="*/ 71199 w 187970"/>
            <a:gd name="connsiteY15" fmla="*/ 128349 h 188118"/>
            <a:gd name="connsiteX16" fmla="*/ 14049 w 187970"/>
            <a:gd name="connsiteY16" fmla="*/ 71199 h 188118"/>
            <a:gd name="connsiteX17" fmla="*/ 71199 w 187970"/>
            <a:gd name="connsiteY17" fmla="*/ 14049 h 188118"/>
            <a:gd name="connsiteX18" fmla="*/ 128349 w 187970"/>
            <a:gd name="connsiteY18" fmla="*/ 71199 h 188118"/>
            <a:gd name="connsiteX19" fmla="*/ 71199 w 187970"/>
            <a:gd name="connsiteY19" fmla="*/ 128349 h 1881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87970" h="188118">
              <a:moveTo>
                <a:pt x="183118" y="159544"/>
              </a:moveTo>
              <a:lnTo>
                <a:pt x="153353" y="129778"/>
              </a:lnTo>
              <a:cubicBezTo>
                <a:pt x="149304" y="125730"/>
                <a:pt x="143828" y="124301"/>
                <a:pt x="138589" y="125254"/>
              </a:cubicBezTo>
              <a:lnTo>
                <a:pt x="128111" y="114776"/>
              </a:lnTo>
              <a:cubicBezTo>
                <a:pt x="137398" y="102870"/>
                <a:pt x="142875" y="87630"/>
                <a:pt x="142875" y="71437"/>
              </a:cubicBezTo>
              <a:cubicBezTo>
                <a:pt x="142875" y="32147"/>
                <a:pt x="110728" y="0"/>
                <a:pt x="71437" y="0"/>
              </a:cubicBezTo>
              <a:cubicBezTo>
                <a:pt x="32147" y="0"/>
                <a:pt x="0" y="32147"/>
                <a:pt x="0" y="71437"/>
              </a:cubicBezTo>
              <a:cubicBezTo>
                <a:pt x="0" y="110728"/>
                <a:pt x="32147" y="142875"/>
                <a:pt x="71437" y="142875"/>
              </a:cubicBezTo>
              <a:cubicBezTo>
                <a:pt x="87630" y="142875"/>
                <a:pt x="102632" y="137398"/>
                <a:pt x="114776" y="128111"/>
              </a:cubicBezTo>
              <a:lnTo>
                <a:pt x="125254" y="138589"/>
              </a:lnTo>
              <a:cubicBezTo>
                <a:pt x="124301" y="143828"/>
                <a:pt x="125730" y="149304"/>
                <a:pt x="129778" y="153353"/>
              </a:cubicBezTo>
              <a:lnTo>
                <a:pt x="159544" y="183118"/>
              </a:lnTo>
              <a:cubicBezTo>
                <a:pt x="162878" y="186452"/>
                <a:pt x="167164" y="188119"/>
                <a:pt x="171450" y="188119"/>
              </a:cubicBezTo>
              <a:cubicBezTo>
                <a:pt x="175736" y="188119"/>
                <a:pt x="180022" y="186452"/>
                <a:pt x="183356" y="183118"/>
              </a:cubicBezTo>
              <a:cubicBezTo>
                <a:pt x="189547" y="176451"/>
                <a:pt x="189547" y="165973"/>
                <a:pt x="183118" y="159544"/>
              </a:cubicBezTo>
              <a:close/>
              <a:moveTo>
                <a:pt x="71199" y="128349"/>
              </a:moveTo>
              <a:cubicBezTo>
                <a:pt x="39767" y="128349"/>
                <a:pt x="14049" y="102632"/>
                <a:pt x="14049" y="71199"/>
              </a:cubicBezTo>
              <a:cubicBezTo>
                <a:pt x="14049" y="39767"/>
                <a:pt x="39767" y="14049"/>
                <a:pt x="71199" y="14049"/>
              </a:cubicBezTo>
              <a:cubicBezTo>
                <a:pt x="102632" y="14049"/>
                <a:pt x="128349" y="39767"/>
                <a:pt x="128349" y="71199"/>
              </a:cubicBezTo>
              <a:cubicBezTo>
                <a:pt x="128349" y="102632"/>
                <a:pt x="102632" y="128349"/>
                <a:pt x="71199" y="128349"/>
              </a:cubicBezTo>
              <a:close/>
            </a:path>
          </a:pathLst>
        </a:custGeom>
        <a:solidFill>
          <a:srgbClr val="07111B"/>
        </a:solidFill>
        <a:ln w="2381" cap="flat">
          <a:noFill/>
          <a:prstDash val="solid"/>
          <a:miter/>
        </a:ln>
      </xdr:spPr>
      <xdr:txBody>
        <a:bodyPr rtlCol="0" anchor="ctr"/>
        <a:lstStyle/>
        <a:p>
          <a:endParaRPr lang="en-US" sz="1100">
            <a:solidFill>
              <a:schemeClr val="tx2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</xdr:row>
      <xdr:rowOff>101600</xdr:rowOff>
    </xdr:from>
    <xdr:to>
      <xdr:col>11</xdr:col>
      <xdr:colOff>1263650</xdr:colOff>
      <xdr:row>2</xdr:row>
      <xdr:rowOff>177587</xdr:rowOff>
    </xdr:to>
    <xdr:sp macro="[0]!OpenFormMateriais" textlink="">
      <xdr:nvSpPr>
        <xdr:cNvPr id="2" name="Rounded Rectangle 12">
          <a:extLst>
            <a:ext uri="{FF2B5EF4-FFF2-40B4-BE49-F238E27FC236}">
              <a16:creationId xmlns:a16="http://schemas.microsoft.com/office/drawing/2014/main" id="{0304C3FF-9E2A-412C-999E-250CD29F8E58}"/>
            </a:ext>
          </a:extLst>
        </xdr:cNvPr>
        <xdr:cNvSpPr/>
      </xdr:nvSpPr>
      <xdr:spPr>
        <a:xfrm>
          <a:off x="15703550" y="298450"/>
          <a:ext cx="95885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+ Novo</a:t>
          </a:r>
        </a:p>
      </xdr:txBody>
    </xdr:sp>
    <xdr:clientData/>
  </xdr:twoCellAnchor>
  <xdr:twoCellAnchor>
    <xdr:from>
      <xdr:col>0</xdr:col>
      <xdr:colOff>203200</xdr:colOff>
      <xdr:row>1</xdr:row>
      <xdr:rowOff>82550</xdr:rowOff>
    </xdr:from>
    <xdr:to>
      <xdr:col>2</xdr:col>
      <xdr:colOff>374650</xdr:colOff>
      <xdr:row>3</xdr:row>
      <xdr:rowOff>63500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6514A1D-61DB-42B5-B3EC-76CA516D194A}"/>
            </a:ext>
          </a:extLst>
        </xdr:cNvPr>
        <xdr:cNvGrpSpPr/>
      </xdr:nvGrpSpPr>
      <xdr:grpSpPr>
        <a:xfrm>
          <a:off x="203200" y="279400"/>
          <a:ext cx="927100" cy="374650"/>
          <a:chOff x="212725" y="215900"/>
          <a:chExt cx="901700" cy="361950"/>
        </a:xfrm>
      </xdr:grpSpPr>
      <xdr:pic macro="[0]!GoHomeFromMateriais">
        <xdr:nvPicPr>
          <xdr:cNvPr id="6" name="Graphic 5" descr="Home">
            <a:extLst>
              <a:ext uri="{FF2B5EF4-FFF2-40B4-BE49-F238E27FC236}">
                <a16:creationId xmlns:a16="http://schemas.microsoft.com/office/drawing/2014/main" id="{0AA915D4-A46C-CD77-8063-89F0671EE84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Materiais" textlink="">
        <xdr:nvSpPr>
          <xdr:cNvPr id="7" name="TextBox 6">
            <a:extLst>
              <a:ext uri="{FF2B5EF4-FFF2-40B4-BE49-F238E27FC236}">
                <a16:creationId xmlns:a16="http://schemas.microsoft.com/office/drawing/2014/main" id="{CC1AA180-3B1D-5F7C-EA52-EBCDD191101E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82550</xdr:rowOff>
    </xdr:from>
    <xdr:to>
      <xdr:col>2</xdr:col>
      <xdr:colOff>374650</xdr:colOff>
      <xdr:row>3</xdr:row>
      <xdr:rowOff>63500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372CC61-5EFC-44B9-9B06-32B26EEEC6AE}"/>
            </a:ext>
          </a:extLst>
        </xdr:cNvPr>
        <xdr:cNvGrpSpPr/>
      </xdr:nvGrpSpPr>
      <xdr:grpSpPr>
        <a:xfrm>
          <a:off x="203200" y="279400"/>
          <a:ext cx="927100" cy="374650"/>
          <a:chOff x="212725" y="215900"/>
          <a:chExt cx="901700" cy="361950"/>
        </a:xfrm>
      </xdr:grpSpPr>
      <xdr:pic macro="[0]!GoHomeFromEstoqueCompra">
        <xdr:nvPicPr>
          <xdr:cNvPr id="4" name="Graphic 3" descr="Home">
            <a:extLst>
              <a:ext uri="{FF2B5EF4-FFF2-40B4-BE49-F238E27FC236}">
                <a16:creationId xmlns:a16="http://schemas.microsoft.com/office/drawing/2014/main" id="{520DA34B-BED0-2184-6226-B32CB4073D0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EstoqueCompra" textlink="">
        <xdr:nvSpPr>
          <xdr:cNvPr id="5" name="TextBox 4">
            <a:extLst>
              <a:ext uri="{FF2B5EF4-FFF2-40B4-BE49-F238E27FC236}">
                <a16:creationId xmlns:a16="http://schemas.microsoft.com/office/drawing/2014/main" id="{BC7A3D35-E219-0E23-182C-A02CCEDAE3A8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  <xdr:twoCellAnchor>
    <xdr:from>
      <xdr:col>7</xdr:col>
      <xdr:colOff>1150257</xdr:colOff>
      <xdr:row>1</xdr:row>
      <xdr:rowOff>140606</xdr:rowOff>
    </xdr:from>
    <xdr:to>
      <xdr:col>7</xdr:col>
      <xdr:colOff>2109107</xdr:colOff>
      <xdr:row>3</xdr:row>
      <xdr:rowOff>17022</xdr:rowOff>
    </xdr:to>
    <xdr:sp macro="[0]!OpenFormCompraMateriais" textlink="">
      <xdr:nvSpPr>
        <xdr:cNvPr id="6" name="Rounded Rectangle 12">
          <a:extLst>
            <a:ext uri="{FF2B5EF4-FFF2-40B4-BE49-F238E27FC236}">
              <a16:creationId xmlns:a16="http://schemas.microsoft.com/office/drawing/2014/main" id="{AA526347-8165-4A0F-A6F8-C84EA020BCC7}"/>
            </a:ext>
          </a:extLst>
        </xdr:cNvPr>
        <xdr:cNvSpPr/>
      </xdr:nvSpPr>
      <xdr:spPr>
        <a:xfrm>
          <a:off x="15444107" y="337456"/>
          <a:ext cx="958850" cy="27011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+ Novo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82550</xdr:rowOff>
    </xdr:from>
    <xdr:to>
      <xdr:col>2</xdr:col>
      <xdr:colOff>374650</xdr:colOff>
      <xdr:row>3</xdr:row>
      <xdr:rowOff>63500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E8C8C2C-4A30-4CD4-B9B9-DC02D687CBCD}"/>
            </a:ext>
          </a:extLst>
        </xdr:cNvPr>
        <xdr:cNvGrpSpPr/>
      </xdr:nvGrpSpPr>
      <xdr:grpSpPr>
        <a:xfrm>
          <a:off x="203200" y="277935"/>
          <a:ext cx="928565" cy="371719"/>
          <a:chOff x="212725" y="215900"/>
          <a:chExt cx="901700" cy="361950"/>
        </a:xfrm>
      </xdr:grpSpPr>
      <xdr:pic macro="[0]!GoHomeFromOrdemServico">
        <xdr:nvPicPr>
          <xdr:cNvPr id="3" name="Graphic 2" descr="Home">
            <a:extLst>
              <a:ext uri="{FF2B5EF4-FFF2-40B4-BE49-F238E27FC236}">
                <a16:creationId xmlns:a16="http://schemas.microsoft.com/office/drawing/2014/main" id="{EE40F1F8-C88C-3FE5-12F8-8DBCD5A2F44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OrdemServico" textlink="">
        <xdr:nvSpPr>
          <xdr:cNvPr id="4" name="TextBox 3">
            <a:extLst>
              <a:ext uri="{FF2B5EF4-FFF2-40B4-BE49-F238E27FC236}">
                <a16:creationId xmlns:a16="http://schemas.microsoft.com/office/drawing/2014/main" id="{9BC67E95-9D72-900A-1506-2E8AC85EB7E4}"/>
              </a:ext>
            </a:extLst>
          </xdr:cNvPr>
          <xdr:cNvSpPr txBox="1"/>
        </xdr:nvSpPr>
        <xdr:spPr>
          <a:xfrm>
            <a:off x="212725" y="247650"/>
            <a:ext cx="901700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  <xdr:twoCellAnchor>
    <xdr:from>
      <xdr:col>21</xdr:col>
      <xdr:colOff>425706</xdr:colOff>
      <xdr:row>1</xdr:row>
      <xdr:rowOff>99901</xdr:rowOff>
    </xdr:from>
    <xdr:to>
      <xdr:col>21</xdr:col>
      <xdr:colOff>1130556</xdr:colOff>
      <xdr:row>2</xdr:row>
      <xdr:rowOff>171702</xdr:rowOff>
    </xdr:to>
    <xdr:sp macro="[0]!OpenFormOrdemServico" textlink="">
      <xdr:nvSpPr>
        <xdr:cNvPr id="5" name="Rounded Rectangle 12">
          <a:extLst>
            <a:ext uri="{FF2B5EF4-FFF2-40B4-BE49-F238E27FC236}">
              <a16:creationId xmlns:a16="http://schemas.microsoft.com/office/drawing/2014/main" id="{D3CC4E00-361F-4590-BD73-1F2752F903AF}"/>
            </a:ext>
          </a:extLst>
        </xdr:cNvPr>
        <xdr:cNvSpPr/>
      </xdr:nvSpPr>
      <xdr:spPr>
        <a:xfrm>
          <a:off x="20591027" y="295286"/>
          <a:ext cx="704850" cy="26718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07111B"/>
              </a:solidFill>
            </a:rPr>
            <a:t>+ Novo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203201</xdr:colOff>
      <xdr:row>1</xdr:row>
      <xdr:rowOff>82550</xdr:rowOff>
    </xdr:from>
    <xdr:to>
      <xdr:col>1</xdr:col>
      <xdr:colOff>1003300</xdr:colOff>
      <xdr:row>3</xdr:row>
      <xdr:rowOff>63500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6274F39-07A2-4616-BA71-A8582E983642}"/>
            </a:ext>
          </a:extLst>
        </xdr:cNvPr>
        <xdr:cNvGrpSpPr/>
      </xdr:nvGrpSpPr>
      <xdr:grpSpPr>
        <a:xfrm>
          <a:off x="203201" y="279400"/>
          <a:ext cx="1022349" cy="374650"/>
          <a:chOff x="212725" y="215900"/>
          <a:chExt cx="909022" cy="361950"/>
        </a:xfrm>
      </xdr:grpSpPr>
      <xdr:pic macro="[0]!GoHomeFromRelatorio">
        <xdr:nvPicPr>
          <xdr:cNvPr id="3" name="Graphic 2" descr="Home">
            <a:extLst>
              <a:ext uri="{FF2B5EF4-FFF2-40B4-BE49-F238E27FC236}">
                <a16:creationId xmlns:a16="http://schemas.microsoft.com/office/drawing/2014/main" id="{D60A8B0A-EB95-9E3C-4E6C-D69AE3B5F4A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 t="25564" b="28571"/>
          <a:stretch>
            <a:fillRect/>
          </a:stretch>
        </xdr:blipFill>
        <xdr:spPr>
          <a:xfrm flipH="1">
            <a:off x="216694" y="215900"/>
            <a:ext cx="893762" cy="361950"/>
          </a:xfrm>
          <a:prstGeom prst="rect">
            <a:avLst/>
          </a:prstGeom>
        </xdr:spPr>
      </xdr:pic>
      <xdr:sp macro="[0]!GoHomeFromRelatorio" textlink="">
        <xdr:nvSpPr>
          <xdr:cNvPr id="4" name="TextBox 3">
            <a:extLst>
              <a:ext uri="{FF2B5EF4-FFF2-40B4-BE49-F238E27FC236}">
                <a16:creationId xmlns:a16="http://schemas.microsoft.com/office/drawing/2014/main" id="{5D166C1F-CD72-F477-6832-9AA784219269}"/>
              </a:ext>
            </a:extLst>
          </xdr:cNvPr>
          <xdr:cNvSpPr txBox="1"/>
        </xdr:nvSpPr>
        <xdr:spPr>
          <a:xfrm>
            <a:off x="212725" y="247650"/>
            <a:ext cx="909022" cy="298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000" b="1" i="1" u="sng">
                <a:solidFill>
                  <a:srgbClr val="07111B"/>
                </a:solidFill>
              </a:rPr>
              <a:t>Home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0E00EB7-32AD-45C3-9DCB-A922B7F9F301}" autoFormatId="16" applyNumberFormats="0" applyBorderFormats="0" applyFontFormats="0" applyPatternFormats="0" applyAlignmentFormats="0" applyWidthHeightFormats="0">
  <queryTableRefresh nextId="8">
    <queryTableFields count="6">
      <queryTableField id="1" name="id_material" tableColumnId="1"/>
      <queryTableField id="2" name="nome_produto" tableColumnId="2"/>
      <queryTableField id="3" name="unidade_medida" tableColumnId="3"/>
      <queryTableField id="4" name="quantidade_comprada" tableColumnId="4"/>
      <queryTableField id="6" name="quantidade_usada" tableColumnId="6"/>
      <queryTableField id="7" name="quantidade_estoque" tableColumnId="7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B49DF2A-BAA8-444F-872A-F7A968527BCD}" name="tbl_funcionarios" displayName="tbl_funcionarios" ref="B5:R8" totalsRowShown="0" headerRowDxfId="122" dataDxfId="120" headerRowBorderDxfId="121" tableBorderDxfId="119" headerRowCellStyle="Bad">
  <sortState xmlns:xlrd2="http://schemas.microsoft.com/office/spreadsheetml/2017/richdata2" ref="B5:R5">
    <sortCondition ref="B5"/>
  </sortState>
  <tableColumns count="17">
    <tableColumn id="1" xr3:uid="{D21BFE7A-421C-48D3-8141-2FB032C09880}" name="ID" dataDxfId="118" dataCellStyle="Hyperlink"/>
    <tableColumn id="16" xr3:uid="{AFDCF618-3AF7-4C3F-8766-5C91A9D1E465}" name="Perfil" dataDxfId="117"/>
    <tableColumn id="2" xr3:uid="{01747D85-4385-4BEE-827D-ED8FC33D84B1}" name="Nome Completo do Funcionário" dataDxfId="116"/>
    <tableColumn id="3" xr3:uid="{BA9E7BFE-CBA4-4B34-B9F9-0ED7DE86ECD9}" name="Endereço" dataDxfId="115"/>
    <tableColumn id="4" xr3:uid="{00B38618-8CD6-4C08-B0B2-07840FE770BD}" name="Nr. Casa/ Apt" dataDxfId="114"/>
    <tableColumn id="15" xr3:uid="{6FD1204D-9937-42B4-A39B-09F92BB52BA5}" name="Bairro" dataDxfId="113"/>
    <tableColumn id="13" xr3:uid="{85A5831E-7C09-4694-A5A8-6758439A32D8}" name="CEP" dataDxfId="112"/>
    <tableColumn id="9" xr3:uid="{5565F79E-7462-4411-980D-6E0763120C71}" name="Cidade" dataDxfId="111"/>
    <tableColumn id="10" xr3:uid="{CE6DC4BA-2DF4-4A8C-85D5-D2C00B174118}" name="Estado (UF)" dataDxfId="110"/>
    <tableColumn id="11" xr3:uid="{26559927-BB45-458E-BD65-C62D843CCEA7}" name="Telefone" dataDxfId="109"/>
    <tableColumn id="5" xr3:uid="{789B123A-54FB-4AD6-8052-AFAD96C9497C}" name="E-mail" dataDxfId="108"/>
    <tableColumn id="8" xr3:uid="{0D65FAC6-4219-4878-A8D9-7B7044916400}" name="Cargo" dataDxfId="107"/>
    <tableColumn id="7" xr3:uid="{AA4F222E-618D-4B28-AAFC-10853442405C}" name="CPF" dataDxfId="106"/>
    <tableColumn id="6" xr3:uid="{9E434D7A-534B-4FB5-A901-BA77CD4B80F7}" name="Data de Nascimento" dataDxfId="105"/>
    <tableColumn id="12" xr3:uid="{3FAB718B-4544-4822-BE3E-488AE37AB061}" name="Salário" dataDxfId="104"/>
    <tableColumn id="17" xr3:uid="{BEF23EE4-1A9C-4389-9223-36A69003D096}" name="Funcionário Ativo" dataDxfId="103"/>
    <tableColumn id="14" xr3:uid="{B7CEA053-0E0B-4BA5-A6F7-2E81DD325627}" name="Data de cadastro" dataDxfId="10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2C062B-D82F-1E48-9B0A-22FADEFD1796}" name="tbl_clientes" displayName="tbl_clientes" ref="B5:N9" totalsRowShown="0" headerRowDxfId="101" dataDxfId="99" headerRowBorderDxfId="100" tableBorderDxfId="98" headerRowCellStyle="Bad">
  <sortState xmlns:xlrd2="http://schemas.microsoft.com/office/spreadsheetml/2017/richdata2" ref="B5:N5">
    <sortCondition ref="B5"/>
  </sortState>
  <tableColumns count="13">
    <tableColumn id="1" xr3:uid="{70362B60-0BF8-2940-9959-2FAD92B117CB}" name="ID" dataDxfId="97" dataCellStyle="Hyperlink"/>
    <tableColumn id="2" xr3:uid="{CDA68B62-F956-054B-B516-BD1418BC2ADA}" name="Nome Completo" dataDxfId="96"/>
    <tableColumn id="3" xr3:uid="{0CF00DCF-1134-1841-BEAA-F94DCE1DC232}" name="CPF" dataDxfId="95"/>
    <tableColumn id="4" xr3:uid="{41E8A8D6-A010-584C-B745-72B10E5FA799}" name="Telefone" dataDxfId="94"/>
    <tableColumn id="5" xr3:uid="{83CF1393-7170-FA4A-8AB6-9BE3583A4E0E}" name="E-mail" dataDxfId="93"/>
    <tableColumn id="6" xr3:uid="{DBB7A897-9F7F-0542-B52E-E83B0352CC4C}" name="Endereço" dataDxfId="92"/>
    <tableColumn id="7" xr3:uid="{AE95990A-FE05-3941-B42A-3CC0D2A27B34}" name="Nr. Casa/ Apt" dataDxfId="91"/>
    <tableColumn id="8" xr3:uid="{D0246E2A-05AD-914B-8A94-3D88A2C869B8}" name="Bairro" dataDxfId="90"/>
    <tableColumn id="14" xr3:uid="{E1623C1D-DC8A-4906-A7BF-034799D35BDA}" name="CEP" dataDxfId="89" dataCellStyle="Bad"/>
    <tableColumn id="9" xr3:uid="{F08AD7B6-AC16-BD45-9D3D-13D9EA55F244}" name="Cidade" dataDxfId="88"/>
    <tableColumn id="10" xr3:uid="{9BE69A26-72F4-5F4A-808F-A8639C7B0982}" name="Estado (UF)" dataDxfId="87"/>
    <tableColumn id="11" xr3:uid="{44532C05-3D77-8148-9ACA-A012C596ADAD}" name="Cliente Ativo" dataDxfId="86"/>
    <tableColumn id="12" xr3:uid="{A6934C5F-0F93-DA43-B550-BC97FDE08DA2}" name="Data de Cadastro" dataDxfId="85" dataCellStyle="Ba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BD92D4-C37D-450A-828D-DF368A0E4A12}" name="tbl_servicos" displayName="tbl_servicos" ref="B5:G13" totalsRowShown="0" headerRowDxfId="84" dataDxfId="82" headerRowBorderDxfId="83" tableBorderDxfId="81" headerRowCellStyle="Bad">
  <sortState xmlns:xlrd2="http://schemas.microsoft.com/office/spreadsheetml/2017/richdata2" ref="B5:G5">
    <sortCondition ref="B5"/>
  </sortState>
  <tableColumns count="6">
    <tableColumn id="1" xr3:uid="{4A843040-143F-4848-A18F-177C5061F885}" name="ID" dataDxfId="80"/>
    <tableColumn id="2" xr3:uid="{76661482-4680-4A0D-89BB-A90A6A389B06}" name="Serviço" dataDxfId="79"/>
    <tableColumn id="3" xr3:uid="{74604EB9-577A-4644-B8C5-0680ACEBD27E}" name="Descrição" dataDxfId="78"/>
    <tableColumn id="4" xr3:uid="{D22002ED-DF38-4769-BC94-4ED76CEDA1F4}" name="Preço Médio (Mão de obra)" dataDxfId="77"/>
    <tableColumn id="10" xr3:uid="{14CED0DA-F3D6-4CFE-8EF6-B0214DEE26FA}" name="Serviço ativo" dataDxfId="76"/>
    <tableColumn id="11" xr3:uid="{78FCD4F6-95C7-4F48-936B-0CE0A4FC861A}" name="Data de Cadastro" dataDxfId="7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65354F2-1C1E-4027-9ED5-52B41E78380A}" name="tbl_fornecedor" displayName="tbl_fornecedor" ref="B5:Q8" totalsRowShown="0" headerRowDxfId="74" dataDxfId="72" headerRowBorderDxfId="73" tableBorderDxfId="71" headerRowCellStyle="Bad">
  <sortState xmlns:xlrd2="http://schemas.microsoft.com/office/spreadsheetml/2017/richdata2" ref="B5:Q5">
    <sortCondition ref="B5"/>
  </sortState>
  <tableColumns count="16">
    <tableColumn id="1" xr3:uid="{44E1A949-CEA3-416F-8D43-E4923A10DC84}" name="ID" dataDxfId="70" dataCellStyle="Hyperlink"/>
    <tableColumn id="2" xr3:uid="{AAC0E2FB-0C8E-44CE-9251-DBD5FB4DE57F}" name="Cadastrado por" dataDxfId="69"/>
    <tableColumn id="3" xr3:uid="{2D4AF90F-3EB1-46E0-BB38-1222A8806C83}" name="CNPJ" dataDxfId="68"/>
    <tableColumn id="4" xr3:uid="{DE0D3A63-5A57-4759-8E3C-6B38035287B3}" name="Nome Fantasia" dataDxfId="67"/>
    <tableColumn id="10" xr3:uid="{87CDB74B-504C-454E-A1D8-49EB209B75D1}" name="Endereço" dataDxfId="66"/>
    <tableColumn id="17" xr3:uid="{ED9FDDD1-54AF-478E-B3FD-32DDDE3E16F0}" name="Nr." dataDxfId="65"/>
    <tableColumn id="16" xr3:uid="{9A8CC4F1-249F-452D-B157-5DFDD5C19922}" name="Bairro" dataDxfId="64"/>
    <tableColumn id="11" xr3:uid="{D0086E22-DE29-45B4-AA83-6E68197EB6EE}" name="CEP" dataDxfId="63"/>
    <tableColumn id="5" xr3:uid="{0E403CDF-3981-46AA-97EA-0E4254675C3C}" name="Cidade" dataDxfId="62"/>
    <tableColumn id="8" xr3:uid="{B930C67F-A394-4ACD-9575-B9DCDAFAB263}" name="Estado" dataDxfId="61"/>
    <tableColumn id="7" xr3:uid="{6EF92B52-7955-42EF-82A1-B02FBD1F1BAF}" name="Telefone" dataDxfId="60"/>
    <tableColumn id="6" xr3:uid="{E5C1D9A2-C020-411C-AB8A-2CF1E69AB70A}" name="Email" dataDxfId="59"/>
    <tableColumn id="9" xr3:uid="{80F4D9E9-E7C7-4277-8885-F5DE7BC9D8A7}" name="Site" dataDxfId="58"/>
    <tableColumn id="12" xr3:uid="{BE368999-4E73-41AA-B933-9C644DECB6F7}" name="Tempo de entrega (em dias)" dataDxfId="57"/>
    <tableColumn id="14" xr3:uid="{AA463158-1CCA-4F1A-B82C-8BB1AC6D3EBC}" name="Fornecedor ativo" dataDxfId="56"/>
    <tableColumn id="15" xr3:uid="{9C76BC0C-2BEA-493F-87E9-316D845DCF9C}" name="Data de cadastro" dataDxfId="5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6ACCE8-AF0D-4790-A3DE-EB9900A5B092}" name="tbl_materiais" displayName="tbl_materiais" ref="B5:L14" totalsRowShown="0" headerRowDxfId="54" dataDxfId="52" headerRowBorderDxfId="53" tableBorderDxfId="51" headerRowCellStyle="Bad">
  <sortState xmlns:xlrd2="http://schemas.microsoft.com/office/spreadsheetml/2017/richdata2" ref="B5:L5">
    <sortCondition ref="B5"/>
  </sortState>
  <tableColumns count="11">
    <tableColumn id="1" xr3:uid="{EF2D6E35-7FC5-4611-9987-08D3D1EC9D03}" name="ID" dataDxfId="50"/>
    <tableColumn id="2" xr3:uid="{14688DC3-CEC9-45FC-86FF-74B6ACA4880E}" name="Cadastrado por" dataDxfId="49"/>
    <tableColumn id="3" xr3:uid="{21AF8C63-3E58-4623-AA3C-7CCBD7D57394}" name="Fornecedor" dataDxfId="48"/>
    <tableColumn id="4" xr3:uid="{3177EC4D-48EA-475B-8F42-AF5892776194}" name="Fabricante" dataDxfId="47"/>
    <tableColumn id="10" xr3:uid="{7D649F87-75FE-4493-B294-BE779B9FE76C}" name="Material" dataDxfId="46"/>
    <tableColumn id="11" xr3:uid="{FA60AD5C-46CC-40DC-8B21-2727D5E9B57C}" name="Unidade" dataDxfId="45"/>
    <tableColumn id="5" xr3:uid="{B158BF99-66CD-4720-80F9-1434FF1E3BC8}" name="Descrição" dataDxfId="44"/>
    <tableColumn id="8" xr3:uid="{CD1CA143-46DA-4F78-909F-B3D95C4B0FBB}" name="Custo de Compra da Unidade" dataDxfId="43"/>
    <tableColumn id="7" xr3:uid="{B973C69F-3480-4D63-A2E5-D5AEDD9F8176}" name="Estoque Mínimo" dataDxfId="42"/>
    <tableColumn id="6" xr3:uid="{4F94FD7D-BBA8-4A57-881F-1F0FBB942884}" name="Material Ativo" dataDxfId="41"/>
    <tableColumn id="9" xr3:uid="{583F4620-F3FF-4C49-9258-115728BC1806}" name="Data de cadastr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42ECEC-EB3C-40FE-B617-336061F682A8}" name="tbl_estoque_compra_materiais" displayName="tbl_estoque_compra_materiais" ref="B5:H16" totalsRowShown="0" headerRowDxfId="39" dataDxfId="37" headerRowBorderDxfId="38" tableBorderDxfId="36" headerRowCellStyle="Bad">
  <sortState xmlns:xlrd2="http://schemas.microsoft.com/office/spreadsheetml/2017/richdata2" ref="B5:G5">
    <sortCondition ref="B5"/>
  </sortState>
  <tableColumns count="7">
    <tableColumn id="1" xr3:uid="{0D3EC9E4-A1E1-4542-AD8B-CDB752B05A2F}" name="ID" dataDxfId="35"/>
    <tableColumn id="10" xr3:uid="{FE19DA84-C875-4863-927E-8366473BF27A}" name="Material" dataDxfId="34"/>
    <tableColumn id="6" xr3:uid="{C54F75BE-021E-4FC0-97E7-4E1146A5C3EA}" name="Unidade de Medida" dataDxfId="33"/>
    <tableColumn id="5" xr3:uid="{50EABB75-125D-4792-96C5-7C515D4C274A}" name="Quantidade Comprada" dataDxfId="32"/>
    <tableColumn id="4" xr3:uid="{79C9543C-E893-48D6-86D4-C7DBFD87525D}" name="Valor da unidade" dataDxfId="31" dataCellStyle="Currency"/>
    <tableColumn id="7" xr3:uid="{9EEBA7BB-65BA-4958-9B18-EBD55C41B419}" name="Valor Total da Compra" dataDxfId="30"/>
    <tableColumn id="3" xr3:uid="{66F661FE-7B8C-4BE7-A594-7713F582C16C}" name="Data de Entrada" dataDxfId="29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CFD9C41-D469-4D26-B173-B9F89FDA519D}" name="tbl_ordem_servico" displayName="tbl_ordem_servico" ref="B5:V9" totalsRowShown="0" headerRowDxfId="28" dataDxfId="26" headerRowBorderDxfId="27" tableBorderDxfId="25" headerRowCellStyle="Bad">
  <sortState xmlns:xlrd2="http://schemas.microsoft.com/office/spreadsheetml/2017/richdata2" ref="B5:G5">
    <sortCondition ref="B5"/>
  </sortState>
  <tableColumns count="21">
    <tableColumn id="1" xr3:uid="{ADE1C216-77E9-4C74-ACDE-825958F3B83E}" name="ID" dataDxfId="24" dataCellStyle="Hyperlink"/>
    <tableColumn id="10" xr3:uid="{A9A8A057-6B73-4944-9070-4B156A1CA1CA}" name="ID do Cliente" dataDxfId="23"/>
    <tableColumn id="6" xr3:uid="{C49C5BFC-6E8D-42C4-B8BB-2AF2400E0C24}" name="Nome Completo do Cliente" dataDxfId="22"/>
    <tableColumn id="5" xr3:uid="{761DC294-A0BA-41E8-8759-821807CFEA5C}" name="Id do Serviço" dataDxfId="21"/>
    <tableColumn id="4" xr3:uid="{6270EA4D-8320-4948-A76A-7E10839AEEA5}" name="Serviço" dataDxfId="20" dataCellStyle="Currency"/>
    <tableColumn id="7" xr3:uid="{E2ACDA11-0093-4CC8-81A0-6D420087809C}" name="Id do Material Usado para o Serviço" dataDxfId="19"/>
    <tableColumn id="3" xr3:uid="{F175375D-019C-47D1-B72F-7569FF264951}" name="Material Usado para o Serviço" dataDxfId="18"/>
    <tableColumn id="8" xr3:uid="{A290180D-1F59-4BFF-85DE-CB6231F3782D}" name="Quantidade de Material Usado" dataDxfId="17"/>
    <tableColumn id="9" xr3:uid="{ED31DA3A-0BB7-4CBB-8A3B-7C558B2161E7}" name="Marca" dataDxfId="16"/>
    <tableColumn id="11" xr3:uid="{11D062D9-8A69-4619-9790-782F34B2F22E}" name="Modelo" dataDxfId="15"/>
    <tableColumn id="12" xr3:uid="{7482A279-F633-4C2B-B273-A1A1597B872A}" name="Ano" dataDxfId="14"/>
    <tableColumn id="13" xr3:uid="{97388548-D9C6-4BA7-9DD7-556E98E5C6BC}" name="Placa" dataDxfId="13"/>
    <tableColumn id="14" xr3:uid="{72954D7B-881D-4D36-8088-2C4C01292833}" name="Serviço Executado por" dataDxfId="12"/>
    <tableColumn id="15" xr3:uid="{1E823677-085B-4B9F-BE5A-5B8CF3253E4D}" name="Data Inicial do Serviço" dataDxfId="11"/>
    <tableColumn id="16" xr3:uid="{4B59C880-F8F6-4B38-A261-0D15223CD53B}" name="Status" dataDxfId="10"/>
    <tableColumn id="17" xr3:uid="{433AD9F3-7747-4DCB-80FA-B364E3A38758}" name="Observações" dataDxfId="9"/>
    <tableColumn id="18" xr3:uid="{E45C1F47-F244-4DC3-9A31-DDED7FA72352}" name="Data de Conclusão do Serviço" dataDxfId="8"/>
    <tableColumn id="19" xr3:uid="{5399D097-7E36-4F7C-9176-9D7D787CD859}" name="Custo total de Material - Padrão" dataDxfId="7"/>
    <tableColumn id="20" xr3:uid="{B5E2BAAD-35F3-41A7-92AA-5D589F23B903}" name="Custo de Mão de Obra" dataDxfId="6"/>
    <tableColumn id="21" xr3:uid="{7851A4B5-1F3A-4447-8F36-8B6DB0A83754}" name="Porcentagem de Lucro" dataDxfId="5" dataCellStyle="Percent"/>
    <tableColumn id="22" xr3:uid="{8F4A5418-1210-4998-AA92-8269F1AFDA0D}" name="Valor total " dataDxfId="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198B55-57B1-49CA-9F76-149F04823C0F}" name="vw_estoque_clean_report" displayName="vw_estoque_clean_report" ref="B5:G12" tableType="queryTable" totalsRowShown="0" headerRowDxfId="3">
  <autoFilter ref="B5:G12" xr:uid="{F6198B55-57B1-49CA-9F76-149F04823C0F}"/>
  <tableColumns count="6">
    <tableColumn id="1" xr3:uid="{929BD4CE-0E78-4D6A-A571-A7C2E500DCC8}" uniqueName="1" name="id_material" queryTableFieldId="1" dataDxfId="2"/>
    <tableColumn id="2" xr3:uid="{C0B57853-0B2D-4C95-8B69-ABF620623706}" uniqueName="2" name="nome_produto" queryTableFieldId="2" dataDxfId="1"/>
    <tableColumn id="3" xr3:uid="{ED7CC9BB-F9B8-45EA-8D00-ABF501AC583C}" uniqueName="3" name="unidade_medida" queryTableFieldId="3" dataDxfId="0"/>
    <tableColumn id="4" xr3:uid="{B38C389A-3682-4918-A7DB-F25C5F1FD5CA}" uniqueName="4" name="quantidade_comprada" queryTableFieldId="4"/>
    <tableColumn id="6" xr3:uid="{8E25106B-9CBC-4ACD-85CD-7CAF4458AF60}" uniqueName="6" name="quantidade_usada" queryTableFieldId="6"/>
    <tableColumn id="7" xr3:uid="{2C96D053-11C6-4CFF-AFC9-229CA79B3654}" uniqueName="7" name="quantidade_estoque" queryTableFieldId="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284D-F96D-854E-8364-1CA0A2A7628B}">
  <sheetPr codeName="sh_home"/>
  <dimension ref="A1:XFC48"/>
  <sheetViews>
    <sheetView tabSelected="1" topLeftCell="B1" zoomScaleNormal="100" workbookViewId="0">
      <selection activeCell="B48" sqref="A48:XFD1048576"/>
    </sheetView>
  </sheetViews>
  <sheetFormatPr defaultColWidth="0" defaultRowHeight="14.5" customHeight="1" zeroHeight="1" x14ac:dyDescent="0.35"/>
  <cols>
    <col min="1" max="1" width="9" style="9" customWidth="1"/>
    <col min="2" max="2" width="4.26953125" style="9" customWidth="1"/>
    <col min="3" max="3" width="41.1796875" style="9" bestFit="1" customWidth="1"/>
    <col min="4" max="4" width="16.90625" style="9" customWidth="1"/>
    <col min="5" max="19" width="9" style="9" customWidth="1"/>
    <col min="20" max="20" width="11.08984375" style="9" customWidth="1"/>
    <col min="21" max="22" width="9" style="9" customWidth="1"/>
    <col min="23" max="23" width="6.6328125" style="9" customWidth="1"/>
    <col min="24" max="24" width="8.1796875" style="9" customWidth="1"/>
    <col min="25" max="32" width="0" style="9" hidden="1"/>
    <col min="33" max="33" width="7.453125" style="9" hidden="1"/>
    <col min="34" max="34" width="0" style="9" hidden="1"/>
    <col min="35" max="16383" width="7.453125" style="9" hidden="1"/>
    <col min="16384" max="16384" width="0.1796875" style="9" hidden="1"/>
  </cols>
  <sheetData>
    <row r="1" spans="2:24" ht="15.5" x14ac:dyDescent="0.35"/>
    <row r="2" spans="2:24" ht="15.5" x14ac:dyDescent="0.35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>
        <v>3</v>
      </c>
      <c r="W2" s="10"/>
      <c r="X2" s="10"/>
    </row>
    <row r="3" spans="2:24" s="13" customFormat="1" ht="18.5" x14ac:dyDescent="0.45">
      <c r="B3" s="11"/>
      <c r="C3" s="12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2:24" ht="15.5" x14ac:dyDescent="0.35">
      <c r="B4" s="10"/>
      <c r="C4" s="14">
        <f ca="1">TODAY()</f>
        <v>45990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2:24" ht="15.5" x14ac:dyDescent="0.35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2:24" ht="15.5" x14ac:dyDescent="0.35">
      <c r="B6" s="10"/>
      <c r="C6" s="10"/>
      <c r="D6" s="10"/>
      <c r="E6" s="10"/>
      <c r="F6" s="10"/>
      <c r="G6" s="10"/>
      <c r="H6" s="10"/>
      <c r="I6" s="10"/>
      <c r="J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2:24" ht="15.5" x14ac:dyDescent="0.35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2:24" ht="15.5" x14ac:dyDescent="0.35">
      <c r="B8" s="10"/>
      <c r="P8" s="10"/>
      <c r="Q8" s="10"/>
      <c r="R8" s="10"/>
      <c r="S8" s="10"/>
      <c r="T8" s="10"/>
      <c r="U8" s="10"/>
      <c r="V8" s="10"/>
      <c r="W8" s="10"/>
      <c r="X8" s="10"/>
    </row>
    <row r="9" spans="2:24" ht="15.5" x14ac:dyDescent="0.35">
      <c r="B9" s="10"/>
      <c r="P9" s="10"/>
      <c r="Q9" s="10"/>
      <c r="R9" s="10"/>
      <c r="S9" s="10"/>
      <c r="T9" s="10"/>
      <c r="U9" s="10"/>
      <c r="V9" s="10"/>
      <c r="W9" s="10"/>
      <c r="X9" s="10"/>
    </row>
    <row r="10" spans="2:24" ht="15.5" x14ac:dyDescent="0.35">
      <c r="B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2:24" ht="15.5" x14ac:dyDescent="0.35">
      <c r="B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2:24" ht="15.5" x14ac:dyDescent="0.35">
      <c r="B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2:24" ht="15.5" x14ac:dyDescent="0.35">
      <c r="B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2:24" ht="15.5" x14ac:dyDescent="0.35">
      <c r="B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2:24" ht="15.5" x14ac:dyDescent="0.35">
      <c r="B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2:24" ht="15.5" x14ac:dyDescent="0.35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2:24" ht="15.5" x14ac:dyDescent="0.35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2:24" ht="15.5" x14ac:dyDescent="0.3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2:24" ht="15.5" x14ac:dyDescent="0.35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2:24" ht="15.5" x14ac:dyDescent="0.35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2:24" ht="15.5" x14ac:dyDescent="0.35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2:24" ht="15.5" x14ac:dyDescent="0.3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2:24" ht="15.5" x14ac:dyDescent="0.3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2:24" ht="15.5" x14ac:dyDescent="0.3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2:24" ht="15.5" x14ac:dyDescent="0.35">
      <c r="B25" s="10"/>
      <c r="C25" s="10"/>
      <c r="D25" s="10"/>
      <c r="E25" s="10"/>
      <c r="F25" s="10"/>
      <c r="G25" s="10"/>
      <c r="H25" s="10"/>
      <c r="I25" s="10"/>
      <c r="J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2:24" ht="15.5" x14ac:dyDescent="0.35">
      <c r="B26" s="10"/>
      <c r="D26" s="10"/>
      <c r="E26" s="10"/>
      <c r="F26" s="10"/>
      <c r="G26" s="10"/>
      <c r="H26" s="10"/>
      <c r="I26" s="10"/>
      <c r="J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2:24" ht="15.5" x14ac:dyDescent="0.35">
      <c r="B27" s="10"/>
      <c r="D27" s="10"/>
      <c r="E27" s="10"/>
      <c r="F27" s="10"/>
      <c r="G27" s="10"/>
      <c r="H27" s="10"/>
      <c r="I27" s="10"/>
      <c r="J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2:24" ht="15.5" x14ac:dyDescent="0.35">
      <c r="B28" s="10"/>
      <c r="D28" s="10"/>
      <c r="E28" s="10"/>
      <c r="F28" s="10"/>
      <c r="G28" s="10"/>
      <c r="H28" s="10"/>
      <c r="I28" s="10"/>
      <c r="J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2:24" ht="15.5" x14ac:dyDescent="0.35">
      <c r="B29" s="10"/>
      <c r="C29" s="10"/>
      <c r="D29" s="10"/>
      <c r="E29" s="10"/>
      <c r="F29" s="10"/>
      <c r="G29" s="10"/>
      <c r="H29" s="10"/>
      <c r="I29" s="10"/>
      <c r="J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2:24" ht="15.5" x14ac:dyDescent="0.35">
      <c r="B30" s="10"/>
      <c r="C30" s="10"/>
      <c r="D30" s="10"/>
      <c r="E30" s="10"/>
      <c r="F30" s="10"/>
      <c r="G30" s="10"/>
      <c r="H30" s="10"/>
      <c r="I30" s="10"/>
      <c r="J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2:24" ht="15.5" x14ac:dyDescent="0.35">
      <c r="B31" s="10"/>
      <c r="C31" s="10"/>
      <c r="D31" s="10"/>
      <c r="E31" s="10"/>
      <c r="F31" s="10"/>
      <c r="G31" s="10"/>
      <c r="H31" s="10"/>
      <c r="I31" s="10"/>
      <c r="J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2:24" ht="15.5" x14ac:dyDescent="0.35">
      <c r="B32" s="10"/>
      <c r="C32" s="10"/>
      <c r="D32" s="10"/>
      <c r="E32" s="10"/>
      <c r="F32" s="10"/>
      <c r="G32" s="10"/>
      <c r="H32" s="10"/>
      <c r="I32" s="10"/>
      <c r="J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2:24" ht="15.5" x14ac:dyDescent="0.35">
      <c r="B33" s="10"/>
      <c r="C33" s="10"/>
      <c r="D33" s="10"/>
      <c r="E33" s="10"/>
      <c r="F33" s="10"/>
      <c r="G33" s="10"/>
      <c r="H33" s="10"/>
      <c r="I33" s="10"/>
      <c r="J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2:24" ht="15.5" x14ac:dyDescent="0.3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2:24" ht="15.5" x14ac:dyDescent="0.3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2:24" ht="15.5" x14ac:dyDescent="0.3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2:24" ht="15.5" x14ac:dyDescent="0.3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2:24" ht="15.5" x14ac:dyDescent="0.3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2:24" ht="15.5" x14ac:dyDescent="0.3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2:24" ht="15.5" x14ac:dyDescent="0.3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2:24" ht="15.5" x14ac:dyDescent="0.3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2:24" ht="15.5" x14ac:dyDescent="0.35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2:24" ht="15.5" x14ac:dyDescent="0.35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2:24" ht="15.5" x14ac:dyDescent="0.35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2:24" ht="15.5" x14ac:dyDescent="0.35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2:24" ht="15.5" x14ac:dyDescent="0.35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2:24" ht="15.5" x14ac:dyDescent="0.35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2:24" ht="14.5" hidden="1" customHeight="1" x14ac:dyDescent="0.35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EA6A-E7DA-4E98-BA35-60D1839E8750}">
  <sheetPr codeName="sh_funcionarios"/>
  <dimension ref="B1:S8"/>
  <sheetViews>
    <sheetView zoomScaleNormal="100" workbookViewId="0">
      <selection activeCell="D6" sqref="D6"/>
    </sheetView>
  </sheetViews>
  <sheetFormatPr defaultColWidth="10.90625" defaultRowHeight="14.5" x14ac:dyDescent="0.35"/>
  <cols>
    <col min="1" max="1" width="3.6328125" style="15" customWidth="1"/>
    <col min="2" max="2" width="7.6328125" style="15" customWidth="1"/>
    <col min="3" max="3" width="13.81640625" style="15" bestFit="1" customWidth="1"/>
    <col min="4" max="4" width="18.7265625" style="15" bestFit="1" customWidth="1"/>
    <col min="5" max="5" width="9.36328125" style="15" bestFit="1" customWidth="1"/>
    <col min="6" max="6" width="12" style="15" bestFit="1" customWidth="1"/>
    <col min="7" max="7" width="15.453125" style="15" customWidth="1"/>
    <col min="8" max="8" width="11.453125" style="15" customWidth="1"/>
    <col min="9" max="9" width="16" style="15" customWidth="1"/>
    <col min="10" max="10" width="8.36328125" style="15" customWidth="1"/>
    <col min="11" max="11" width="15.7265625" style="15" bestFit="1" customWidth="1"/>
    <col min="12" max="12" width="21.7265625" style="15" bestFit="1" customWidth="1"/>
    <col min="13" max="13" width="14.1796875" style="15" customWidth="1"/>
    <col min="14" max="14" width="16.7265625" style="15" bestFit="1" customWidth="1"/>
    <col min="15" max="15" width="16.26953125" style="15" bestFit="1" customWidth="1"/>
    <col min="16" max="16" width="10.90625" style="15"/>
    <col min="17" max="17" width="15.54296875" style="15" bestFit="1" customWidth="1"/>
    <col min="18" max="18" width="11.1796875" style="15" bestFit="1" customWidth="1"/>
    <col min="19" max="16384" width="10.90625" style="15"/>
  </cols>
  <sheetData>
    <row r="1" spans="2:19" ht="15" customHeight="1" x14ac:dyDescent="0.35"/>
    <row r="2" spans="2:19" ht="15" customHeight="1" x14ac:dyDescent="0.35"/>
    <row r="3" spans="2:19" ht="15" customHeight="1" x14ac:dyDescent="0.35"/>
    <row r="4" spans="2:19" ht="15" customHeight="1" x14ac:dyDescent="0.35"/>
    <row r="5" spans="2:19" s="27" customFormat="1" ht="45" customHeight="1" x14ac:dyDescent="0.35">
      <c r="B5" s="26" t="s">
        <v>17</v>
      </c>
      <c r="C5" s="26" t="s">
        <v>45</v>
      </c>
      <c r="D5" s="20" t="s">
        <v>54</v>
      </c>
      <c r="E5" s="20" t="s">
        <v>4</v>
      </c>
      <c r="F5" s="20" t="s">
        <v>15</v>
      </c>
      <c r="G5" s="20" t="s">
        <v>7</v>
      </c>
      <c r="H5" s="20" t="s">
        <v>60</v>
      </c>
      <c r="I5" s="20" t="s">
        <v>8</v>
      </c>
      <c r="J5" s="20" t="s">
        <v>9</v>
      </c>
      <c r="K5" s="20" t="s">
        <v>3</v>
      </c>
      <c r="L5" s="20" t="s">
        <v>14</v>
      </c>
      <c r="M5" s="20" t="s">
        <v>42</v>
      </c>
      <c r="N5" s="20" t="s">
        <v>5</v>
      </c>
      <c r="O5" s="20" t="s">
        <v>43</v>
      </c>
      <c r="P5" s="20" t="s">
        <v>44</v>
      </c>
      <c r="Q5" s="20" t="s">
        <v>78</v>
      </c>
      <c r="R5" s="20" t="s">
        <v>46</v>
      </c>
    </row>
    <row r="6" spans="2:19" x14ac:dyDescent="0.35">
      <c r="B6" s="21">
        <v>1</v>
      </c>
      <c r="C6" s="28" t="s">
        <v>79</v>
      </c>
      <c r="D6" s="29" t="s">
        <v>129</v>
      </c>
      <c r="E6" s="29" t="s">
        <v>52</v>
      </c>
      <c r="F6" s="29" t="s">
        <v>90</v>
      </c>
      <c r="G6" s="30" t="s">
        <v>52</v>
      </c>
      <c r="H6" s="30" t="s">
        <v>91</v>
      </c>
      <c r="I6" s="30" t="s">
        <v>52</v>
      </c>
      <c r="J6" s="29" t="s">
        <v>92</v>
      </c>
      <c r="K6" s="29" t="s">
        <v>19</v>
      </c>
      <c r="L6" s="31" t="s">
        <v>93</v>
      </c>
      <c r="M6" s="31" t="s">
        <v>88</v>
      </c>
      <c r="N6" s="31" t="s">
        <v>18</v>
      </c>
      <c r="O6" s="32" t="s">
        <v>94</v>
      </c>
      <c r="P6" s="31" t="s">
        <v>95</v>
      </c>
      <c r="Q6" s="31" t="s">
        <v>58</v>
      </c>
      <c r="R6" s="33">
        <v>45949.463302430559</v>
      </c>
      <c r="S6" s="34"/>
    </row>
    <row r="7" spans="2:19" x14ac:dyDescent="0.35">
      <c r="B7" s="22">
        <v>2</v>
      </c>
      <c r="C7" s="79" t="s">
        <v>31</v>
      </c>
      <c r="D7" s="79" t="s">
        <v>105</v>
      </c>
      <c r="E7" s="79" t="s">
        <v>97</v>
      </c>
      <c r="F7" s="79" t="s">
        <v>98</v>
      </c>
      <c r="G7" s="80" t="s">
        <v>99</v>
      </c>
      <c r="H7" s="80" t="s">
        <v>100</v>
      </c>
      <c r="I7" s="80" t="s">
        <v>101</v>
      </c>
      <c r="J7" s="79" t="s">
        <v>102</v>
      </c>
      <c r="K7" s="79" t="s">
        <v>80</v>
      </c>
      <c r="L7" s="82" t="s">
        <v>103</v>
      </c>
      <c r="M7" s="82" t="s">
        <v>104</v>
      </c>
      <c r="N7" s="82" t="s">
        <v>81</v>
      </c>
      <c r="O7" s="83" t="s">
        <v>82</v>
      </c>
      <c r="P7" s="82" t="s">
        <v>106</v>
      </c>
      <c r="Q7" s="82" t="s">
        <v>58</v>
      </c>
      <c r="R7" s="81">
        <v>45949.826863078706</v>
      </c>
    </row>
    <row r="8" spans="2:19" x14ac:dyDescent="0.35">
      <c r="B8" s="22">
        <v>3</v>
      </c>
      <c r="C8" s="79" t="s">
        <v>79</v>
      </c>
      <c r="D8" s="79" t="s">
        <v>83</v>
      </c>
      <c r="E8" s="79" t="s">
        <v>84</v>
      </c>
      <c r="F8" s="79" t="s">
        <v>71</v>
      </c>
      <c r="G8" s="80" t="s">
        <v>85</v>
      </c>
      <c r="H8" s="80" t="s">
        <v>86</v>
      </c>
      <c r="I8" s="80" t="s">
        <v>11</v>
      </c>
      <c r="J8" s="79" t="s">
        <v>50</v>
      </c>
      <c r="K8" s="79" t="s">
        <v>80</v>
      </c>
      <c r="L8" s="82" t="s">
        <v>87</v>
      </c>
      <c r="M8" s="82" t="s">
        <v>88</v>
      </c>
      <c r="N8" s="82" t="s">
        <v>89</v>
      </c>
      <c r="O8" s="83" t="s">
        <v>82</v>
      </c>
      <c r="P8" s="82" t="s">
        <v>96</v>
      </c>
      <c r="Q8" s="82" t="s">
        <v>58</v>
      </c>
      <c r="R8" s="81">
        <v>45949.841779166665</v>
      </c>
    </row>
  </sheetData>
  <hyperlinks>
    <hyperlink ref="B6" location="'Usuários do Sistema-Funcionário'!B6" display="Editar" xr:uid="{024CF6EC-436F-4523-B844-E6154AA9C4F7}"/>
    <hyperlink ref="B7" location="'Usuários do Sistema-Funcionário'!B7" display="Editar" xr:uid="{E3719810-A825-4356-805F-8EFF324B9E7D}"/>
    <hyperlink ref="B8" location="'Usuários do Sistema-Funcionário'!B8" display="Editar" xr:uid="{1B884977-EB4C-4348-8BBB-54AAA860EA74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497E-5B2F-464C-94C4-D8BB2410C699}">
  <sheetPr codeName="sh_clientes"/>
  <dimension ref="A1:XFB9"/>
  <sheetViews>
    <sheetView zoomScaleNormal="100" workbookViewId="0">
      <selection activeCell="E17" sqref="E17"/>
    </sheetView>
  </sheetViews>
  <sheetFormatPr defaultColWidth="0" defaultRowHeight="14.5" x14ac:dyDescent="0.35"/>
  <cols>
    <col min="1" max="1" width="3.6328125" style="15" customWidth="1"/>
    <col min="2" max="2" width="8.54296875" style="15" customWidth="1"/>
    <col min="3" max="3" width="28.36328125" style="15" customWidth="1"/>
    <col min="4" max="4" width="17.36328125" style="15" customWidth="1"/>
    <col min="5" max="5" width="17.54296875" style="15" customWidth="1"/>
    <col min="6" max="6" width="22.81640625" style="15" customWidth="1"/>
    <col min="7" max="7" width="22.7265625" style="15" customWidth="1"/>
    <col min="8" max="8" width="13.08984375" style="15" bestFit="1" customWidth="1"/>
    <col min="9" max="9" width="15.36328125" style="15" customWidth="1"/>
    <col min="10" max="10" width="19.36328125" style="15" customWidth="1"/>
    <col min="11" max="11" width="15.7265625" style="15" bestFit="1" customWidth="1"/>
    <col min="12" max="12" width="12.453125" style="15" bestFit="1" customWidth="1"/>
    <col min="13" max="13" width="21.08984375" style="15" bestFit="1" customWidth="1"/>
    <col min="14" max="14" width="21.08984375" style="15" customWidth="1"/>
    <col min="15" max="15" width="3.6328125" style="15" customWidth="1"/>
    <col min="16" max="16381" width="10.90625" style="15" hidden="1"/>
    <col min="16382" max="16382" width="4.6328125" style="15" hidden="1"/>
    <col min="16383" max="16384" width="3.26953125" style="15" hidden="1"/>
  </cols>
  <sheetData>
    <row r="1" spans="2:14" ht="15" customHeight="1" x14ac:dyDescent="0.35"/>
    <row r="2" spans="2:14" ht="15" customHeight="1" x14ac:dyDescent="0.35"/>
    <row r="3" spans="2:14" ht="15" customHeight="1" x14ac:dyDescent="0.35"/>
    <row r="4" spans="2:14" ht="15" customHeight="1" x14ac:dyDescent="0.35"/>
    <row r="5" spans="2:14" ht="45" customHeight="1" x14ac:dyDescent="0.35">
      <c r="B5" s="7" t="s">
        <v>17</v>
      </c>
      <c r="C5" s="8" t="s">
        <v>6</v>
      </c>
      <c r="D5" s="8" t="s">
        <v>5</v>
      </c>
      <c r="E5" s="8" t="s">
        <v>3</v>
      </c>
      <c r="F5" s="8" t="s">
        <v>14</v>
      </c>
      <c r="G5" s="8" t="s">
        <v>4</v>
      </c>
      <c r="H5" s="8" t="s">
        <v>15</v>
      </c>
      <c r="I5" s="8" t="s">
        <v>7</v>
      </c>
      <c r="J5" s="8" t="s">
        <v>60</v>
      </c>
      <c r="K5" s="8" t="s">
        <v>8</v>
      </c>
      <c r="L5" s="8" t="s">
        <v>9</v>
      </c>
      <c r="M5" s="8" t="s">
        <v>16</v>
      </c>
      <c r="N5" s="8" t="s">
        <v>12</v>
      </c>
    </row>
    <row r="6" spans="2:14" x14ac:dyDescent="0.35">
      <c r="B6" s="6">
        <v>4</v>
      </c>
      <c r="C6" s="3" t="s">
        <v>55</v>
      </c>
      <c r="D6" s="3" t="s">
        <v>56</v>
      </c>
      <c r="E6" s="3" t="s">
        <v>57</v>
      </c>
      <c r="F6" s="3" t="s">
        <v>67</v>
      </c>
      <c r="G6" s="3" t="s">
        <v>61</v>
      </c>
      <c r="H6" s="3" t="s">
        <v>66</v>
      </c>
      <c r="I6" s="3" t="s">
        <v>49</v>
      </c>
      <c r="J6" s="3" t="s">
        <v>65</v>
      </c>
      <c r="K6" s="3" t="s">
        <v>11</v>
      </c>
      <c r="L6" s="3" t="s">
        <v>50</v>
      </c>
      <c r="M6" s="3" t="s">
        <v>58</v>
      </c>
      <c r="N6" s="4">
        <v>45948.923523877318</v>
      </c>
    </row>
    <row r="7" spans="2:14" x14ac:dyDescent="0.35">
      <c r="B7" s="6">
        <v>5</v>
      </c>
      <c r="C7" s="79" t="s">
        <v>69</v>
      </c>
      <c r="D7" s="79" t="s">
        <v>62</v>
      </c>
      <c r="E7" s="79" t="s">
        <v>70</v>
      </c>
      <c r="F7" s="79"/>
      <c r="G7" s="79" t="s">
        <v>71</v>
      </c>
      <c r="H7" s="79" t="s">
        <v>71</v>
      </c>
      <c r="I7" s="79" t="s">
        <v>71</v>
      </c>
      <c r="J7" s="3" t="s">
        <v>63</v>
      </c>
      <c r="K7" s="79" t="s">
        <v>71</v>
      </c>
      <c r="L7" s="79" t="s">
        <v>64</v>
      </c>
      <c r="M7" s="79" t="s">
        <v>59</v>
      </c>
      <c r="N7" s="4">
        <v>45948.930551469908</v>
      </c>
    </row>
    <row r="8" spans="2:14" x14ac:dyDescent="0.35">
      <c r="B8" s="6">
        <v>6</v>
      </c>
      <c r="C8" s="79" t="s">
        <v>52</v>
      </c>
      <c r="D8" s="79" t="s">
        <v>18</v>
      </c>
      <c r="E8" s="79" t="s">
        <v>19</v>
      </c>
      <c r="F8" s="79"/>
      <c r="G8" s="79" t="s">
        <v>72</v>
      </c>
      <c r="H8" s="79" t="s">
        <v>20</v>
      </c>
      <c r="I8" s="79" t="s">
        <v>20</v>
      </c>
      <c r="J8" s="3" t="s">
        <v>73</v>
      </c>
      <c r="K8" s="79" t="s">
        <v>20</v>
      </c>
      <c r="L8" s="79" t="s">
        <v>64</v>
      </c>
      <c r="M8" s="79" t="s">
        <v>58</v>
      </c>
      <c r="N8" s="4">
        <v>45948.950774039353</v>
      </c>
    </row>
    <row r="9" spans="2:14" x14ac:dyDescent="0.35">
      <c r="B9" s="6">
        <v>11</v>
      </c>
      <c r="C9" s="80" t="s">
        <v>52</v>
      </c>
      <c r="D9" s="80" t="s">
        <v>74</v>
      </c>
      <c r="E9" s="80" t="s">
        <v>68</v>
      </c>
      <c r="F9" s="80"/>
      <c r="G9" s="80" t="s">
        <v>75</v>
      </c>
      <c r="H9" s="80" t="s">
        <v>75</v>
      </c>
      <c r="I9" s="80" t="s">
        <v>75</v>
      </c>
      <c r="J9" s="23" t="s">
        <v>76</v>
      </c>
      <c r="K9" s="80" t="s">
        <v>75</v>
      </c>
      <c r="L9" s="80" t="s">
        <v>77</v>
      </c>
      <c r="M9" s="80" t="s">
        <v>58</v>
      </c>
      <c r="N9" s="24">
        <v>45948.971772916666</v>
      </c>
    </row>
  </sheetData>
  <phoneticPr fontId="3" type="noConversion"/>
  <hyperlinks>
    <hyperlink ref="B6" location="'Lista de Clientes'!B6" display="Editar" xr:uid="{139876D6-EEA9-4F70-8E85-FDA7FE910DFE}"/>
    <hyperlink ref="B7" location="'Lista de Clientes'!B7" display="Editar" xr:uid="{A97D933D-D746-4647-91D9-E7AA90A732A8}"/>
    <hyperlink ref="B8" location="'Lista de Clientes'!B8" display="Editar" xr:uid="{8B88A2C8-33D8-48BD-AF0D-03E4BE3DAF61}"/>
    <hyperlink ref="B9" location="'Lista de Clientes'!B9" display="Editar" xr:uid="{4396C8E7-5C81-4930-A1D5-6FFCAEEF3DEE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A7DE-7150-4DC6-B85D-5983BFFBD68A}">
  <sheetPr codeName="sh_servicos"/>
  <dimension ref="A1:XFB13"/>
  <sheetViews>
    <sheetView zoomScaleNormal="100" workbookViewId="0">
      <selection activeCell="C6" sqref="C6"/>
    </sheetView>
  </sheetViews>
  <sheetFormatPr defaultColWidth="8.7265625" defaultRowHeight="14.5" x14ac:dyDescent="0.35"/>
  <cols>
    <col min="1" max="1" width="3.6328125" style="15" customWidth="1"/>
    <col min="2" max="2" width="9" style="15" customWidth="1"/>
    <col min="3" max="3" width="68.1796875" style="15" customWidth="1"/>
    <col min="4" max="4" width="84.08984375" style="15" customWidth="1"/>
    <col min="5" max="5" width="39.7265625" style="15" customWidth="1"/>
    <col min="6" max="6" width="14.54296875" style="15" customWidth="1"/>
    <col min="7" max="7" width="18.81640625" style="15" customWidth="1"/>
    <col min="8" max="8" width="3.7265625" style="15" customWidth="1"/>
    <col min="9" max="9" width="5" hidden="1" customWidth="1"/>
    <col min="10" max="16381" width="8.7265625" hidden="1" customWidth="1"/>
    <col min="16382" max="16382" width="7.81640625" hidden="1" customWidth="1"/>
    <col min="16383" max="16384" width="8.984375E-2" style="15" hidden="1" customWidth="1"/>
  </cols>
  <sheetData>
    <row r="1" spans="2:7" ht="15" customHeight="1" x14ac:dyDescent="0.35"/>
    <row r="2" spans="2:7" ht="15" customHeight="1" x14ac:dyDescent="0.35"/>
    <row r="3" spans="2:7" ht="15" customHeight="1" x14ac:dyDescent="0.35"/>
    <row r="4" spans="2:7" ht="15" customHeight="1" x14ac:dyDescent="0.35"/>
    <row r="5" spans="2:7" ht="45" customHeight="1" x14ac:dyDescent="0.35">
      <c r="B5" s="7" t="s">
        <v>17</v>
      </c>
      <c r="C5" s="8" t="s">
        <v>1</v>
      </c>
      <c r="D5" s="8" t="s">
        <v>21</v>
      </c>
      <c r="E5" s="8" t="s">
        <v>47</v>
      </c>
      <c r="F5" s="8" t="s">
        <v>22</v>
      </c>
      <c r="G5" s="8" t="s">
        <v>12</v>
      </c>
    </row>
    <row r="6" spans="2:7" x14ac:dyDescent="0.35">
      <c r="B6" s="5">
        <v>1</v>
      </c>
      <c r="C6" s="3" t="s">
        <v>0</v>
      </c>
      <c r="D6" s="3" t="s">
        <v>48</v>
      </c>
      <c r="E6" s="3">
        <v>1000</v>
      </c>
      <c r="F6" s="3" t="s">
        <v>58</v>
      </c>
      <c r="G6" s="4">
        <v>45940.895139548615</v>
      </c>
    </row>
    <row r="7" spans="2:7" x14ac:dyDescent="0.35">
      <c r="B7" s="16">
        <v>2</v>
      </c>
      <c r="C7" s="79" t="s">
        <v>25</v>
      </c>
      <c r="D7" s="79" t="s">
        <v>26</v>
      </c>
      <c r="E7" s="79">
        <v>1000</v>
      </c>
      <c r="F7" s="79" t="s">
        <v>58</v>
      </c>
      <c r="G7" s="84">
        <v>45940.922356747687</v>
      </c>
    </row>
    <row r="8" spans="2:7" x14ac:dyDescent="0.35">
      <c r="B8" s="16">
        <v>3</v>
      </c>
      <c r="C8" s="79" t="s">
        <v>25</v>
      </c>
      <c r="D8" s="79" t="s">
        <v>27</v>
      </c>
      <c r="E8" s="79">
        <v>2000</v>
      </c>
      <c r="F8" s="79" t="s">
        <v>58</v>
      </c>
      <c r="G8" s="84">
        <v>45940.923332256942</v>
      </c>
    </row>
    <row r="9" spans="2:7" x14ac:dyDescent="0.35">
      <c r="B9" s="16">
        <v>4</v>
      </c>
      <c r="C9" s="79" t="s">
        <v>28</v>
      </c>
      <c r="D9" s="79" t="s">
        <v>29</v>
      </c>
      <c r="E9" s="79">
        <v>0</v>
      </c>
      <c r="F9" s="79" t="s">
        <v>58</v>
      </c>
      <c r="G9" s="84">
        <v>45940.931459224536</v>
      </c>
    </row>
    <row r="10" spans="2:7" x14ac:dyDescent="0.35">
      <c r="B10" s="16">
        <v>5</v>
      </c>
      <c r="C10" s="79" t="s">
        <v>30</v>
      </c>
      <c r="D10" s="79" t="s">
        <v>23</v>
      </c>
      <c r="E10" s="79">
        <v>0</v>
      </c>
      <c r="F10" s="79" t="s">
        <v>58</v>
      </c>
      <c r="G10" s="84">
        <v>45940.932001932873</v>
      </c>
    </row>
    <row r="11" spans="2:7" x14ac:dyDescent="0.35">
      <c r="B11" s="16">
        <v>6</v>
      </c>
      <c r="C11" s="79" t="s">
        <v>30</v>
      </c>
      <c r="D11" s="79" t="s">
        <v>24</v>
      </c>
      <c r="E11" s="79">
        <v>0</v>
      </c>
      <c r="F11" s="79" t="s">
        <v>58</v>
      </c>
      <c r="G11" s="84">
        <v>45940.932147071762</v>
      </c>
    </row>
    <row r="12" spans="2:7" x14ac:dyDescent="0.35">
      <c r="B12" s="16">
        <v>7</v>
      </c>
      <c r="C12" s="79" t="s">
        <v>51</v>
      </c>
      <c r="D12" s="79" t="s">
        <v>52</v>
      </c>
      <c r="E12" s="79">
        <v>455</v>
      </c>
      <c r="F12" s="79" t="s">
        <v>58</v>
      </c>
      <c r="G12" s="84">
        <v>45948.961827083331</v>
      </c>
    </row>
    <row r="13" spans="2:7" x14ac:dyDescent="0.35">
      <c r="B13" s="16">
        <v>8</v>
      </c>
      <c r="C13" s="79" t="s">
        <v>51</v>
      </c>
      <c r="D13" s="79" t="s">
        <v>51</v>
      </c>
      <c r="E13" s="79">
        <v>600</v>
      </c>
      <c r="F13" s="79" t="s">
        <v>58</v>
      </c>
      <c r="G13" s="84">
        <v>45949.378182291664</v>
      </c>
    </row>
  </sheetData>
  <phoneticPr fontId="3" type="noConversion"/>
  <hyperlinks>
    <hyperlink ref="B6" location="'Serviços'!B6" display="Editar" xr:uid="{DE55D04D-52D1-4114-8882-D38CFAE0AC93}"/>
    <hyperlink ref="B7" location="'Serviços'!B7" display="Editar" xr:uid="{D47B8B48-3776-4644-81F3-56077E0FA7D2}"/>
    <hyperlink ref="B8" location="'Serviços'!B8" display="Editar" xr:uid="{F5E2D0E0-5F07-4FA3-A6F8-CEC1ABA3EE26}"/>
    <hyperlink ref="B9" location="'Serviços'!B9" display="Editar" xr:uid="{A4CB9D8B-FF97-4B6A-9B09-57D6E982BA2B}"/>
    <hyperlink ref="B10" location="'Serviços'!B10" display="Editar" xr:uid="{0D0113F7-AAE9-477E-B687-F1C839ADDA8F}"/>
    <hyperlink ref="B11" location="'Serviços'!B11" display="Editar" xr:uid="{3FD62F2A-98B0-42F8-92EC-F65A8540A050}"/>
    <hyperlink ref="B12" location="'Serviços'!B12" display="Editar" xr:uid="{7E117569-A9FC-49E9-8F5D-74989AE3BD79}"/>
    <hyperlink ref="B13" location="'Serviços'!B13" display="Editar" xr:uid="{003CD026-6740-4ED3-8225-E6D249F0FDA1}"/>
  </hyperlink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A5D85-D052-4BC1-9AE6-0A011C7F2D79}">
  <sheetPr codeName="sh_fornecedor"/>
  <dimension ref="A1:XFC8"/>
  <sheetViews>
    <sheetView zoomScaleNormal="100" workbookViewId="0">
      <selection sqref="A1:XFD11"/>
    </sheetView>
  </sheetViews>
  <sheetFormatPr defaultColWidth="0" defaultRowHeight="14.5" x14ac:dyDescent="0.35"/>
  <cols>
    <col min="1" max="1" width="3.6328125" style="15" customWidth="1"/>
    <col min="2" max="2" width="6.6328125" style="15" customWidth="1"/>
    <col min="3" max="3" width="16.08984375" style="15" customWidth="1"/>
    <col min="4" max="4" width="18.54296875" style="15" customWidth="1"/>
    <col min="5" max="5" width="29.90625" style="15" customWidth="1"/>
    <col min="6" max="6" width="17.1796875" style="15" customWidth="1"/>
    <col min="7" max="7" width="7.7265625" style="15" customWidth="1"/>
    <col min="8" max="8" width="15.08984375" style="15" customWidth="1"/>
    <col min="9" max="9" width="9.453125" style="15" bestFit="1" customWidth="1"/>
    <col min="10" max="10" width="18.08984375" style="15" customWidth="1"/>
    <col min="11" max="11" width="6.54296875" style="15" bestFit="1" customWidth="1"/>
    <col min="12" max="12" width="14.7265625" style="15" bestFit="1" customWidth="1"/>
    <col min="13" max="13" width="18.7265625" style="15" customWidth="1"/>
    <col min="14" max="14" width="16.36328125" style="15" bestFit="1" customWidth="1"/>
    <col min="15" max="15" width="16.26953125" style="15" bestFit="1" customWidth="1"/>
    <col min="16" max="17" width="10.90625" style="15" customWidth="1"/>
    <col min="18" max="18" width="3.26953125" style="15" customWidth="1"/>
    <col min="19" max="16383" width="10.90625" hidden="1"/>
    <col min="16384" max="16384" width="0.453125" customWidth="1"/>
  </cols>
  <sheetData>
    <row r="1" spans="1:18" ht="15" customHeight="1" x14ac:dyDescent="0.35"/>
    <row r="2" spans="1:18" ht="15" customHeight="1" x14ac:dyDescent="0.35"/>
    <row r="3" spans="1:18" ht="15" customHeight="1" x14ac:dyDescent="0.35"/>
    <row r="4" spans="1:18" ht="15" customHeight="1" x14ac:dyDescent="0.35"/>
    <row r="5" spans="1:18" s="35" customFormat="1" ht="42" customHeight="1" x14ac:dyDescent="0.35">
      <c r="A5" s="27"/>
      <c r="B5" s="26" t="s">
        <v>17</v>
      </c>
      <c r="C5" s="20" t="s">
        <v>108</v>
      </c>
      <c r="D5" s="20" t="s">
        <v>36</v>
      </c>
      <c r="E5" s="20" t="s">
        <v>37</v>
      </c>
      <c r="F5" s="20" t="s">
        <v>4</v>
      </c>
      <c r="G5" s="20" t="s">
        <v>107</v>
      </c>
      <c r="H5" s="20" t="s">
        <v>7</v>
      </c>
      <c r="I5" s="25" t="s">
        <v>60</v>
      </c>
      <c r="J5" s="20" t="s">
        <v>8</v>
      </c>
      <c r="K5" s="20" t="s">
        <v>38</v>
      </c>
      <c r="L5" s="20" t="s">
        <v>3</v>
      </c>
      <c r="M5" s="20" t="s">
        <v>10</v>
      </c>
      <c r="N5" s="20" t="s">
        <v>39</v>
      </c>
      <c r="O5" s="20" t="s">
        <v>40</v>
      </c>
      <c r="P5" s="20" t="s">
        <v>41</v>
      </c>
      <c r="Q5" s="20" t="s">
        <v>46</v>
      </c>
      <c r="R5" s="27"/>
    </row>
    <row r="6" spans="1:18" x14ac:dyDescent="0.35">
      <c r="B6" s="5">
        <v>1</v>
      </c>
      <c r="C6" s="3" t="s">
        <v>83</v>
      </c>
      <c r="D6" s="3" t="s">
        <v>113</v>
      </c>
      <c r="E6" s="3" t="s">
        <v>159</v>
      </c>
      <c r="F6" s="3" t="s">
        <v>109</v>
      </c>
      <c r="G6" s="36" t="s">
        <v>127</v>
      </c>
      <c r="H6" s="36" t="s">
        <v>110</v>
      </c>
      <c r="I6" s="37" t="s">
        <v>118</v>
      </c>
      <c r="J6" s="33" t="s">
        <v>111</v>
      </c>
      <c r="K6" s="33" t="s">
        <v>119</v>
      </c>
      <c r="L6" s="33" t="s">
        <v>68</v>
      </c>
      <c r="M6" s="33" t="s">
        <v>120</v>
      </c>
      <c r="N6" s="33" t="s">
        <v>112</v>
      </c>
      <c r="O6" s="31">
        <v>9</v>
      </c>
      <c r="P6" s="33" t="s">
        <v>59</v>
      </c>
      <c r="Q6" s="33">
        <v>45950.993762418984</v>
      </c>
    </row>
    <row r="7" spans="1:18" x14ac:dyDescent="0.35">
      <c r="B7" s="16">
        <v>4</v>
      </c>
      <c r="C7" s="79" t="s">
        <v>83</v>
      </c>
      <c r="D7" s="79" t="s">
        <v>115</v>
      </c>
      <c r="E7" s="79" t="s">
        <v>162</v>
      </c>
      <c r="F7" s="79" t="s">
        <v>114</v>
      </c>
      <c r="G7" s="79" t="s">
        <v>114</v>
      </c>
      <c r="H7" s="79" t="s">
        <v>114</v>
      </c>
      <c r="I7" s="79"/>
      <c r="J7" s="81" t="s">
        <v>114</v>
      </c>
      <c r="K7" s="81" t="s">
        <v>116</v>
      </c>
      <c r="L7" s="81" t="s">
        <v>117</v>
      </c>
      <c r="M7" s="81"/>
      <c r="N7" s="81" t="s">
        <v>114</v>
      </c>
      <c r="O7" s="82">
        <v>3</v>
      </c>
      <c r="P7" s="81" t="s">
        <v>58</v>
      </c>
      <c r="Q7" s="81">
        <v>45951.822852430552</v>
      </c>
    </row>
    <row r="8" spans="1:18" x14ac:dyDescent="0.35">
      <c r="B8" s="6">
        <v>7</v>
      </c>
      <c r="C8" s="80" t="s">
        <v>83</v>
      </c>
      <c r="D8" s="80" t="s">
        <v>121</v>
      </c>
      <c r="E8" s="80" t="s">
        <v>160</v>
      </c>
      <c r="F8" s="80" t="s">
        <v>122</v>
      </c>
      <c r="G8" s="80" t="s">
        <v>123</v>
      </c>
      <c r="H8" s="80" t="s">
        <v>124</v>
      </c>
      <c r="I8" s="80" t="s">
        <v>76</v>
      </c>
      <c r="J8" s="81" t="s">
        <v>125</v>
      </c>
      <c r="K8" s="81" t="s">
        <v>102</v>
      </c>
      <c r="L8" s="81" t="s">
        <v>68</v>
      </c>
      <c r="M8" s="81"/>
      <c r="N8" s="81" t="s">
        <v>126</v>
      </c>
      <c r="O8" s="82">
        <v>42</v>
      </c>
      <c r="P8" s="81" t="s">
        <v>58</v>
      </c>
      <c r="Q8" s="81">
        <v>45951.825776041667</v>
      </c>
    </row>
  </sheetData>
  <hyperlinks>
    <hyperlink ref="B6" location="'Fornecedor'!B6" display="Editar" xr:uid="{0F877C21-87F8-40E0-A40F-7758E54BBFB9}"/>
    <hyperlink ref="B7" location="'Fornecedor'!B7" display="Editar" xr:uid="{D59195E7-7DBD-4E4A-8E28-EF1F42BEAF7B}"/>
    <hyperlink ref="B8" location="'Fornecedor'!B8" display="Editar" xr:uid="{4E7721E1-3BF9-47D5-8FB1-F17187834F63}"/>
  </hyperlink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7890-DED2-4884-A878-667C55D34365}">
  <sheetPr codeName="sh_materiais">
    <tabColor theme="0"/>
  </sheetPr>
  <dimension ref="A5:M14"/>
  <sheetViews>
    <sheetView zoomScaleNormal="100" workbookViewId="0">
      <selection activeCell="F21" sqref="F21"/>
    </sheetView>
  </sheetViews>
  <sheetFormatPr defaultColWidth="0" defaultRowHeight="15.5" x14ac:dyDescent="0.35"/>
  <cols>
    <col min="1" max="1" width="3.1796875" style="9" customWidth="1"/>
    <col min="2" max="2" width="7.6328125" style="9" customWidth="1"/>
    <col min="3" max="3" width="27.08984375" style="9" customWidth="1"/>
    <col min="4" max="4" width="26.7265625" style="9" customWidth="1"/>
    <col min="5" max="5" width="30.1796875" style="9" customWidth="1"/>
    <col min="6" max="6" width="25.81640625" style="9" customWidth="1"/>
    <col min="7" max="7" width="15.08984375" style="9" customWidth="1"/>
    <col min="8" max="8" width="18.54296875" style="9" customWidth="1"/>
    <col min="9" max="9" width="38.26953125" style="9" customWidth="1"/>
    <col min="10" max="10" width="15.54296875" style="9" customWidth="1"/>
    <col min="11" max="11" width="12.36328125" style="9" customWidth="1"/>
    <col min="12" max="12" width="18.1796875" style="9" customWidth="1"/>
    <col min="13" max="13" width="5" style="9" customWidth="1"/>
    <col min="14" max="16384" width="10.90625" style="9" hidden="1"/>
  </cols>
  <sheetData>
    <row r="5" spans="2:12" s="17" customFormat="1" ht="45" customHeight="1" x14ac:dyDescent="0.35">
      <c r="B5" s="18" t="s">
        <v>17</v>
      </c>
      <c r="C5" s="20" t="s">
        <v>108</v>
      </c>
      <c r="D5" s="19" t="s">
        <v>33</v>
      </c>
      <c r="E5" s="19" t="s">
        <v>32</v>
      </c>
      <c r="F5" s="19" t="s">
        <v>2</v>
      </c>
      <c r="G5" s="19" t="s">
        <v>34</v>
      </c>
      <c r="H5" s="19" t="s">
        <v>21</v>
      </c>
      <c r="I5" s="19" t="s">
        <v>35</v>
      </c>
      <c r="J5" s="19" t="s">
        <v>53</v>
      </c>
      <c r="K5" s="19" t="s">
        <v>128</v>
      </c>
      <c r="L5" s="19" t="s">
        <v>46</v>
      </c>
    </row>
    <row r="6" spans="2:12" x14ac:dyDescent="0.35">
      <c r="B6" s="5">
        <v>1</v>
      </c>
      <c r="C6" s="38" t="s">
        <v>83</v>
      </c>
      <c r="D6" s="39" t="s">
        <v>159</v>
      </c>
      <c r="E6" s="38" t="s">
        <v>164</v>
      </c>
      <c r="F6" s="38" t="s">
        <v>52</v>
      </c>
      <c r="G6" s="38" t="s">
        <v>131</v>
      </c>
      <c r="H6" s="40" t="s">
        <v>52</v>
      </c>
      <c r="I6" s="41">
        <v>5</v>
      </c>
      <c r="J6" s="41">
        <v>5</v>
      </c>
      <c r="K6" s="40" t="s">
        <v>58</v>
      </c>
      <c r="L6" s="40">
        <v>2</v>
      </c>
    </row>
    <row r="7" spans="2:12" x14ac:dyDescent="0.35">
      <c r="B7" s="16">
        <v>2</v>
      </c>
      <c r="C7" s="1" t="s">
        <v>83</v>
      </c>
      <c r="D7" s="1" t="s">
        <v>159</v>
      </c>
      <c r="E7" s="1" t="s">
        <v>163</v>
      </c>
      <c r="F7" s="1" t="s">
        <v>52</v>
      </c>
      <c r="G7" s="1" t="s">
        <v>132</v>
      </c>
      <c r="H7" s="2" t="s">
        <v>52</v>
      </c>
      <c r="I7" s="53">
        <v>2.99</v>
      </c>
      <c r="J7" s="53">
        <v>2</v>
      </c>
      <c r="K7" s="2" t="s">
        <v>58</v>
      </c>
      <c r="L7" s="2">
        <v>2</v>
      </c>
    </row>
    <row r="8" spans="2:12" x14ac:dyDescent="0.35">
      <c r="B8" s="16">
        <v>3</v>
      </c>
      <c r="C8" s="1" t="s">
        <v>83</v>
      </c>
      <c r="D8" s="1" t="s">
        <v>159</v>
      </c>
      <c r="E8" s="1" t="s">
        <v>161</v>
      </c>
      <c r="F8" s="1" t="s">
        <v>165</v>
      </c>
      <c r="G8" s="1" t="s">
        <v>131</v>
      </c>
      <c r="H8" s="2" t="s">
        <v>52</v>
      </c>
      <c r="I8" s="53">
        <v>11</v>
      </c>
      <c r="J8" s="53">
        <v>11</v>
      </c>
      <c r="K8" s="2" t="s">
        <v>58</v>
      </c>
      <c r="L8" s="2">
        <v>2</v>
      </c>
    </row>
    <row r="9" spans="2:12" x14ac:dyDescent="0.35">
      <c r="B9" s="16">
        <v>4</v>
      </c>
      <c r="C9" s="1" t="s">
        <v>83</v>
      </c>
      <c r="D9" s="1" t="s">
        <v>160</v>
      </c>
      <c r="E9" s="1" t="s">
        <v>139</v>
      </c>
      <c r="F9" s="1" t="s">
        <v>139</v>
      </c>
      <c r="G9" s="1" t="s">
        <v>140</v>
      </c>
      <c r="H9" s="2" t="s">
        <v>139</v>
      </c>
      <c r="I9" s="53">
        <v>12</v>
      </c>
      <c r="J9" s="53">
        <v>5</v>
      </c>
      <c r="K9" s="2" t="s">
        <v>58</v>
      </c>
      <c r="L9" s="2">
        <v>45988.782626701388</v>
      </c>
    </row>
    <row r="10" spans="2:12" x14ac:dyDescent="0.35">
      <c r="B10" s="16">
        <v>5</v>
      </c>
      <c r="C10" s="1" t="s">
        <v>83</v>
      </c>
      <c r="D10" s="1" t="s">
        <v>159</v>
      </c>
      <c r="E10" s="1" t="s">
        <v>172</v>
      </c>
      <c r="F10" s="1" t="s">
        <v>173</v>
      </c>
      <c r="G10" s="1" t="s">
        <v>170</v>
      </c>
      <c r="H10" s="2" t="s">
        <v>130</v>
      </c>
      <c r="I10" s="53">
        <v>3</v>
      </c>
      <c r="J10" s="53">
        <v>3</v>
      </c>
      <c r="K10" s="2" t="s">
        <v>59</v>
      </c>
      <c r="L10" s="2">
        <v>45989.863130092592</v>
      </c>
    </row>
    <row r="11" spans="2:12" x14ac:dyDescent="0.35">
      <c r="B11" s="16">
        <v>6</v>
      </c>
      <c r="C11" s="1" t="s">
        <v>83</v>
      </c>
      <c r="D11" s="1" t="s">
        <v>159</v>
      </c>
      <c r="E11" s="1" t="s">
        <v>166</v>
      </c>
      <c r="F11" s="1" t="s">
        <v>161</v>
      </c>
      <c r="G11" s="1" t="s">
        <v>167</v>
      </c>
      <c r="H11" s="2" t="s">
        <v>161</v>
      </c>
      <c r="I11" s="53">
        <v>20</v>
      </c>
      <c r="J11" s="53">
        <v>20</v>
      </c>
      <c r="K11" s="2" t="s">
        <v>58</v>
      </c>
      <c r="L11" s="2">
        <v>45989.891474305557</v>
      </c>
    </row>
    <row r="12" spans="2:12" x14ac:dyDescent="0.35">
      <c r="B12" s="16">
        <v>7</v>
      </c>
      <c r="C12" s="1" t="s">
        <v>83</v>
      </c>
      <c r="D12" s="1" t="s">
        <v>159</v>
      </c>
      <c r="E12" s="1" t="s">
        <v>168</v>
      </c>
      <c r="F12" s="1" t="s">
        <v>169</v>
      </c>
      <c r="G12" s="1" t="s">
        <v>170</v>
      </c>
      <c r="H12" s="2" t="s">
        <v>169</v>
      </c>
      <c r="I12" s="53">
        <v>29</v>
      </c>
      <c r="J12" s="53">
        <v>8</v>
      </c>
      <c r="K12" s="2" t="s">
        <v>58</v>
      </c>
      <c r="L12" s="2">
        <v>45989.893129548611</v>
      </c>
    </row>
    <row r="13" spans="2:12" x14ac:dyDescent="0.35">
      <c r="B13" s="16">
        <v>8</v>
      </c>
      <c r="C13" s="1" t="s">
        <v>83</v>
      </c>
      <c r="D13" s="1" t="s">
        <v>159</v>
      </c>
      <c r="E13" s="1" t="s">
        <v>171</v>
      </c>
      <c r="F13" s="1" t="s">
        <v>171</v>
      </c>
      <c r="G13" s="1" t="s">
        <v>131</v>
      </c>
      <c r="H13" s="2" t="s">
        <v>171</v>
      </c>
      <c r="I13" s="53">
        <v>10</v>
      </c>
      <c r="J13" s="53">
        <v>20</v>
      </c>
      <c r="K13" s="2" t="s">
        <v>58</v>
      </c>
      <c r="L13" s="2">
        <v>45989.894494675929</v>
      </c>
    </row>
    <row r="14" spans="2:12" x14ac:dyDescent="0.35">
      <c r="B14" s="6">
        <v>9</v>
      </c>
      <c r="C14" s="54" t="s">
        <v>83</v>
      </c>
      <c r="D14" s="54" t="s">
        <v>159</v>
      </c>
      <c r="E14" s="54" t="s">
        <v>55</v>
      </c>
      <c r="F14" s="54" t="s">
        <v>174</v>
      </c>
      <c r="G14" s="54" t="s">
        <v>131</v>
      </c>
      <c r="H14" s="2" t="s">
        <v>175</v>
      </c>
      <c r="I14" s="53">
        <v>5</v>
      </c>
      <c r="J14" s="53">
        <v>55</v>
      </c>
      <c r="K14" s="2" t="s">
        <v>58</v>
      </c>
      <c r="L14" s="2">
        <v>45989.901925347222</v>
      </c>
    </row>
  </sheetData>
  <phoneticPr fontId="3" type="noConversion"/>
  <hyperlinks>
    <hyperlink ref="B6" location="'Materiais'!B6" display="Editar" xr:uid="{587722DF-1398-4448-A554-233E608F78DB}"/>
    <hyperlink ref="B7" location="'Materiais'!B7" display="Editar" xr:uid="{60993C54-05EE-4473-B070-E3A5A1627359}"/>
    <hyperlink ref="B8" location="'Materiais'!B8" display="Editar" xr:uid="{CC8F1711-E556-4F4C-9EB8-D8230AB2D882}"/>
    <hyperlink ref="B9" location="'Materiais'!B9" display="Editar" xr:uid="{54AE15E3-FE40-4969-AE57-6C9D82DA5DB5}"/>
    <hyperlink ref="B10" location="'Materiais'!B10" display="Editar" xr:uid="{D53630CB-0191-4415-9DE1-97EFA4401AB5}"/>
    <hyperlink ref="B11" location="'Materiais'!B11" display="Editar" xr:uid="{74060613-3221-4510-909A-754099CE2D9C}"/>
    <hyperlink ref="B12" location="'Materiais'!B12" display="Editar" xr:uid="{3D02BC82-82AD-4159-8FA3-9AFAAD5CAA8A}"/>
    <hyperlink ref="B13" location="'Materiais'!B13" display="Editar" xr:uid="{AC4C5FC4-2F19-4250-9648-7E298D151AE5}"/>
    <hyperlink ref="B14" location="'Materiais'!B14" display="Editar" xr:uid="{9CA57F07-F6E0-49FA-81EA-D6913483CFFE}"/>
  </hyperlink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67B47-F8CF-4411-93CD-C956D7428676}">
  <sheetPr codeName="sh_estoque_compra_materiais">
    <tabColor theme="0"/>
  </sheetPr>
  <dimension ref="A5:M16"/>
  <sheetViews>
    <sheetView zoomScaleNormal="100" workbookViewId="0">
      <selection activeCell="C11" sqref="C11"/>
    </sheetView>
  </sheetViews>
  <sheetFormatPr defaultColWidth="0" defaultRowHeight="15.5" x14ac:dyDescent="0.35"/>
  <cols>
    <col min="1" max="1" width="3.1796875" style="9" customWidth="1"/>
    <col min="2" max="2" width="7.6328125" style="9" customWidth="1"/>
    <col min="3" max="3" width="56.453125" style="9" customWidth="1"/>
    <col min="4" max="4" width="39.7265625" style="9" customWidth="1"/>
    <col min="5" max="5" width="30.1796875" style="9" customWidth="1"/>
    <col min="6" max="6" width="25.81640625" style="9" customWidth="1"/>
    <col min="7" max="7" width="45.90625" style="9" customWidth="1"/>
    <col min="8" max="8" width="30.26953125" style="9" customWidth="1"/>
    <col min="9" max="9" width="2.90625" style="9" customWidth="1"/>
    <col min="10" max="10" width="15.54296875" style="9" hidden="1" customWidth="1"/>
    <col min="11" max="11" width="12.36328125" style="9" hidden="1" customWidth="1"/>
    <col min="12" max="12" width="18.1796875" style="9" hidden="1" customWidth="1"/>
    <col min="13" max="13" width="5" style="9" hidden="1" customWidth="1"/>
    <col min="14" max="16384" width="10.90625" style="9" hidden="1"/>
  </cols>
  <sheetData>
    <row r="5" spans="2:8" s="17" customFormat="1" ht="45" customHeight="1" x14ac:dyDescent="0.35">
      <c r="B5" s="18" t="s">
        <v>17</v>
      </c>
      <c r="C5" s="19" t="s">
        <v>2</v>
      </c>
      <c r="D5" s="19" t="s">
        <v>136</v>
      </c>
      <c r="E5" s="19" t="s">
        <v>137</v>
      </c>
      <c r="F5" s="19" t="s">
        <v>134</v>
      </c>
      <c r="G5" s="19" t="s">
        <v>138</v>
      </c>
      <c r="H5" s="42" t="s">
        <v>133</v>
      </c>
    </row>
    <row r="6" spans="2:8" x14ac:dyDescent="0.35">
      <c r="B6" s="43">
        <v>1</v>
      </c>
      <c r="C6" s="44" t="s">
        <v>52</v>
      </c>
      <c r="D6" s="45" t="s">
        <v>131</v>
      </c>
      <c r="E6" s="46">
        <v>5</v>
      </c>
      <c r="F6" s="47">
        <v>5</v>
      </c>
      <c r="G6" s="48">
        <v>25</v>
      </c>
      <c r="H6" s="49">
        <v>45988.761056863426</v>
      </c>
    </row>
    <row r="7" spans="2:8" x14ac:dyDescent="0.35">
      <c r="B7" s="50">
        <v>2</v>
      </c>
      <c r="C7" s="55" t="s">
        <v>52</v>
      </c>
      <c r="D7" s="56" t="s">
        <v>131</v>
      </c>
      <c r="E7" s="57">
        <v>23</v>
      </c>
      <c r="F7" s="47">
        <v>5</v>
      </c>
      <c r="G7" s="58">
        <v>115</v>
      </c>
      <c r="H7" s="60">
        <v>45988.771417974538</v>
      </c>
    </row>
    <row r="8" spans="2:8" x14ac:dyDescent="0.35">
      <c r="B8" s="50">
        <v>3</v>
      </c>
      <c r="C8" s="55" t="s">
        <v>52</v>
      </c>
      <c r="D8" s="56" t="s">
        <v>131</v>
      </c>
      <c r="E8" s="57">
        <v>22</v>
      </c>
      <c r="F8" s="47">
        <v>5</v>
      </c>
      <c r="G8" s="58">
        <v>110</v>
      </c>
      <c r="H8" s="60">
        <v>45988.773455902781</v>
      </c>
    </row>
    <row r="9" spans="2:8" x14ac:dyDescent="0.35">
      <c r="B9" s="50">
        <v>4</v>
      </c>
      <c r="C9" s="55" t="s">
        <v>139</v>
      </c>
      <c r="D9" s="56" t="s">
        <v>140</v>
      </c>
      <c r="E9" s="57">
        <v>70</v>
      </c>
      <c r="F9" s="47">
        <v>12</v>
      </c>
      <c r="G9" s="58">
        <v>840</v>
      </c>
      <c r="H9" s="60">
        <v>45988.774008067128</v>
      </c>
    </row>
    <row r="10" spans="2:8" x14ac:dyDescent="0.35">
      <c r="B10" s="50">
        <v>5</v>
      </c>
      <c r="C10" s="55" t="s">
        <v>173</v>
      </c>
      <c r="D10" s="56" t="s">
        <v>170</v>
      </c>
      <c r="E10" s="57">
        <v>20</v>
      </c>
      <c r="F10" s="47">
        <v>3</v>
      </c>
      <c r="G10" s="58">
        <v>60</v>
      </c>
      <c r="H10" s="60">
        <v>45988.778231018521</v>
      </c>
    </row>
    <row r="11" spans="2:8" x14ac:dyDescent="0.35">
      <c r="B11" s="50">
        <v>6</v>
      </c>
      <c r="C11" s="55" t="s">
        <v>161</v>
      </c>
      <c r="D11" s="56" t="s">
        <v>167</v>
      </c>
      <c r="E11" s="57">
        <v>100</v>
      </c>
      <c r="F11" s="47">
        <v>20</v>
      </c>
      <c r="G11" s="58">
        <v>2000</v>
      </c>
      <c r="H11" s="60">
        <v>45988.77871003472</v>
      </c>
    </row>
    <row r="12" spans="2:8" x14ac:dyDescent="0.35">
      <c r="B12" s="50">
        <v>7</v>
      </c>
      <c r="C12" s="55" t="s">
        <v>139</v>
      </c>
      <c r="D12" s="56" t="s">
        <v>140</v>
      </c>
      <c r="E12" s="57">
        <v>10</v>
      </c>
      <c r="F12" s="47">
        <v>12</v>
      </c>
      <c r="G12" s="58">
        <v>120</v>
      </c>
      <c r="H12" s="60">
        <v>45988.782905555556</v>
      </c>
    </row>
    <row r="13" spans="2:8" x14ac:dyDescent="0.35">
      <c r="B13" s="50">
        <v>8</v>
      </c>
      <c r="C13" s="55" t="s">
        <v>165</v>
      </c>
      <c r="D13" s="56" t="s">
        <v>131</v>
      </c>
      <c r="E13" s="57">
        <v>22</v>
      </c>
      <c r="F13" s="47">
        <v>11</v>
      </c>
      <c r="G13" s="58">
        <v>242</v>
      </c>
      <c r="H13" s="60">
        <v>45988.801507372686</v>
      </c>
    </row>
    <row r="14" spans="2:8" x14ac:dyDescent="0.35">
      <c r="B14" s="50">
        <v>9</v>
      </c>
      <c r="C14" s="55" t="s">
        <v>169</v>
      </c>
      <c r="D14" s="56" t="s">
        <v>170</v>
      </c>
      <c r="E14" s="57">
        <v>40</v>
      </c>
      <c r="F14" s="47">
        <v>29</v>
      </c>
      <c r="G14" s="58">
        <v>1160</v>
      </c>
      <c r="H14" s="60">
        <v>45988.801649884263</v>
      </c>
    </row>
    <row r="15" spans="2:8" x14ac:dyDescent="0.35">
      <c r="B15" s="50">
        <v>10</v>
      </c>
      <c r="C15" s="55" t="s">
        <v>171</v>
      </c>
      <c r="D15" s="56" t="s">
        <v>131</v>
      </c>
      <c r="E15" s="57">
        <v>3</v>
      </c>
      <c r="F15" s="47">
        <v>10</v>
      </c>
      <c r="G15" s="58">
        <v>30</v>
      </c>
      <c r="H15" s="60">
        <v>45989.903613229166</v>
      </c>
    </row>
    <row r="16" spans="2:8" x14ac:dyDescent="0.35">
      <c r="B16" s="51">
        <v>11</v>
      </c>
      <c r="C16" s="59" t="s">
        <v>171</v>
      </c>
      <c r="D16" s="56" t="s">
        <v>131</v>
      </c>
      <c r="E16" s="57">
        <v>23</v>
      </c>
      <c r="F16" s="47">
        <v>10</v>
      </c>
      <c r="G16" s="58">
        <v>230</v>
      </c>
      <c r="H16" s="60">
        <v>45989.903869791669</v>
      </c>
    </row>
  </sheetData>
  <hyperlinks>
    <hyperlink ref="B6" location="'Estoque - Compra de Materiais'!B6" display="Editar" xr:uid="{D5C3362C-E060-4279-84B3-F6DF0E12FB30}"/>
    <hyperlink ref="B7" location="'Estoque - Compra de Materiais'!B7" display="Editar" xr:uid="{EBD4038A-453B-4AAB-ABA2-65750E11756A}"/>
    <hyperlink ref="B8" location="'Estoque - Compra de Materiais'!B8" display="Editar" xr:uid="{D4F5D313-EBED-4900-80E9-5F458E83AF25}"/>
    <hyperlink ref="B9" location="'Estoque - Compra de Materiais'!B9" display="Editar" xr:uid="{3C9ECE02-378A-4452-AF3E-5DE845FEA9AA}"/>
    <hyperlink ref="B10" location="'Estoque - Compra de Materiais'!B10" display="Editar" xr:uid="{D4D9F731-41FD-436D-A5E1-7BFBEAB89938}"/>
    <hyperlink ref="B11" location="'Estoque - Compra de Materiais'!B11" display="Editar" xr:uid="{921BC32D-E2BA-4AFC-BD82-D6079271EB98}"/>
    <hyperlink ref="B12" location="'Estoque - Compra de Materiais'!B12" display="Editar" xr:uid="{EF080CCD-9099-4DCD-9E9C-9AFE24946B19}"/>
    <hyperlink ref="B13" location="'Estoque - Compra de Materiais'!B13" display="Editar" xr:uid="{83FAF252-A10C-45DE-99AF-6307F2D7729C}"/>
    <hyperlink ref="B14" location="'Estoque - Compra de Materiais'!B14" display="Editar" xr:uid="{16861833-F847-48A1-8510-1182C6E3D3D6}"/>
    <hyperlink ref="B15" location="'Estoque - Compra de Materiais'!B15" display="Editar" xr:uid="{D074A84D-65E4-473E-BBB7-B98EE9C83FEF}"/>
    <hyperlink ref="B16" location="'Estoque - Compra de Materiais'!B16" display="Editar" xr:uid="{81FAF721-0215-44FB-A103-0C766214A52C}"/>
  </hyperlink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A67A4-1E98-4B83-8D84-06BF2F4EAA6D}">
  <sheetPr codeName="sh_ordem_servico">
    <tabColor theme="0"/>
  </sheetPr>
  <dimension ref="B4:V15"/>
  <sheetViews>
    <sheetView zoomScale="78" zoomScaleNormal="78" workbookViewId="0">
      <selection activeCell="D16" sqref="D16"/>
    </sheetView>
  </sheetViews>
  <sheetFormatPr defaultColWidth="5.36328125" defaultRowHeight="15.5" x14ac:dyDescent="0.35"/>
  <cols>
    <col min="1" max="1" width="3.1796875" style="9" customWidth="1"/>
    <col min="2" max="2" width="7.6328125" style="9" customWidth="1"/>
    <col min="3" max="3" width="12.6328125" style="9" bestFit="1" customWidth="1"/>
    <col min="4" max="4" width="22.26953125" style="9" customWidth="1"/>
    <col min="5" max="5" width="10.08984375" style="9" customWidth="1"/>
    <col min="6" max="6" width="14.36328125" style="9" customWidth="1"/>
    <col min="7" max="7" width="14.90625" style="9" customWidth="1"/>
    <col min="8" max="8" width="23.26953125" style="9" customWidth="1"/>
    <col min="9" max="9" width="16.81640625" style="9" customWidth="1"/>
    <col min="10" max="13" width="8.26953125" style="9" customWidth="1"/>
    <col min="14" max="14" width="18.26953125" style="9" customWidth="1"/>
    <col min="15" max="15" width="18.1796875" style="9" bestFit="1" customWidth="1"/>
    <col min="16" max="16" width="14.453125" style="9" customWidth="1"/>
    <col min="17" max="17" width="12.81640625" style="9" customWidth="1"/>
    <col min="18" max="18" width="16.54296875" style="9" customWidth="1"/>
    <col min="19" max="19" width="21.7265625" style="9" bestFit="1" customWidth="1"/>
    <col min="20" max="20" width="16.26953125" style="9" bestFit="1" customWidth="1"/>
    <col min="21" max="21" width="14.90625" style="9" customWidth="1"/>
    <col min="22" max="22" width="16.453125" style="9" customWidth="1"/>
    <col min="23" max="16384" width="5.36328125" style="9"/>
  </cols>
  <sheetData>
    <row r="4" spans="2:22" x14ac:dyDescent="0.35">
      <c r="J4" s="85" t="s">
        <v>151</v>
      </c>
      <c r="K4" s="85"/>
      <c r="L4" s="85"/>
      <c r="M4" s="85"/>
    </row>
    <row r="5" spans="2:22" s="17" customFormat="1" ht="57.5" customHeight="1" x14ac:dyDescent="0.35">
      <c r="B5" s="18" t="s">
        <v>17</v>
      </c>
      <c r="C5" s="19" t="s">
        <v>142</v>
      </c>
      <c r="D5" s="19" t="s">
        <v>144</v>
      </c>
      <c r="E5" s="19" t="s">
        <v>143</v>
      </c>
      <c r="F5" s="19" t="s">
        <v>1</v>
      </c>
      <c r="G5" s="19" t="s">
        <v>145</v>
      </c>
      <c r="H5" s="42" t="s">
        <v>146</v>
      </c>
      <c r="I5" s="42" t="s">
        <v>147</v>
      </c>
      <c r="J5" s="42" t="s">
        <v>148</v>
      </c>
      <c r="K5" s="42" t="s">
        <v>149</v>
      </c>
      <c r="L5" s="42" t="s">
        <v>135</v>
      </c>
      <c r="M5" s="42" t="s">
        <v>150</v>
      </c>
      <c r="N5" s="42" t="s">
        <v>13</v>
      </c>
      <c r="O5" s="42" t="s">
        <v>152</v>
      </c>
      <c r="P5" s="42" t="s">
        <v>153</v>
      </c>
      <c r="Q5" s="42" t="s">
        <v>154</v>
      </c>
      <c r="R5" s="42" t="s">
        <v>155</v>
      </c>
      <c r="S5" s="42" t="s">
        <v>156</v>
      </c>
      <c r="T5" s="42" t="s">
        <v>157</v>
      </c>
      <c r="U5" s="42" t="s">
        <v>141</v>
      </c>
      <c r="V5" s="75" t="s">
        <v>158</v>
      </c>
    </row>
    <row r="6" spans="2:22" x14ac:dyDescent="0.35">
      <c r="B6" s="61">
        <v>1</v>
      </c>
      <c r="C6" s="62">
        <v>4</v>
      </c>
      <c r="D6" s="62" t="s">
        <v>55</v>
      </c>
      <c r="E6" s="63">
        <v>6</v>
      </c>
      <c r="F6" s="64" t="s">
        <v>24</v>
      </c>
      <c r="G6" s="63">
        <v>9</v>
      </c>
      <c r="H6" s="65" t="s">
        <v>174</v>
      </c>
      <c r="I6" s="66">
        <v>1</v>
      </c>
      <c r="J6" s="66" t="s">
        <v>176</v>
      </c>
      <c r="K6" s="66" t="s">
        <v>176</v>
      </c>
      <c r="L6" s="66">
        <v>1</v>
      </c>
      <c r="M6" s="66" t="s">
        <v>176</v>
      </c>
      <c r="N6" s="66" t="s">
        <v>176</v>
      </c>
      <c r="O6" s="67">
        <v>45989.993888807869</v>
      </c>
      <c r="P6" s="66" t="s">
        <v>177</v>
      </c>
      <c r="Q6" s="66"/>
      <c r="R6" s="67"/>
      <c r="S6" s="66">
        <v>5</v>
      </c>
      <c r="T6" s="66">
        <v>1</v>
      </c>
      <c r="U6" s="77">
        <v>0.01</v>
      </c>
      <c r="V6" s="73">
        <v>6.06</v>
      </c>
    </row>
    <row r="7" spans="2:22" x14ac:dyDescent="0.35">
      <c r="B7" s="61">
        <v>2</v>
      </c>
      <c r="C7" s="68">
        <v>4</v>
      </c>
      <c r="D7" s="68" t="s">
        <v>55</v>
      </c>
      <c r="E7" s="68">
        <v>1</v>
      </c>
      <c r="F7" s="69" t="s">
        <v>48</v>
      </c>
      <c r="G7" s="68">
        <v>1</v>
      </c>
      <c r="H7" s="70" t="s">
        <v>52</v>
      </c>
      <c r="I7" s="71">
        <v>1</v>
      </c>
      <c r="J7" s="71" t="s">
        <v>176</v>
      </c>
      <c r="K7" s="71" t="s">
        <v>176</v>
      </c>
      <c r="L7" s="71">
        <v>1</v>
      </c>
      <c r="M7" s="71" t="s">
        <v>176</v>
      </c>
      <c r="N7" s="71" t="s">
        <v>71</v>
      </c>
      <c r="O7" s="72">
        <v>45989.995569247687</v>
      </c>
      <c r="P7" s="71" t="s">
        <v>178</v>
      </c>
      <c r="Q7" s="71"/>
      <c r="R7" s="72"/>
      <c r="S7" s="71">
        <v>5</v>
      </c>
      <c r="T7" s="71">
        <v>1</v>
      </c>
      <c r="U7" s="76">
        <v>1</v>
      </c>
      <c r="V7" s="74">
        <v>12</v>
      </c>
    </row>
    <row r="8" spans="2:22" x14ac:dyDescent="0.35">
      <c r="B8" s="61">
        <v>3</v>
      </c>
      <c r="C8" s="68">
        <v>5</v>
      </c>
      <c r="D8" s="68" t="s">
        <v>69</v>
      </c>
      <c r="E8" s="68">
        <v>4</v>
      </c>
      <c r="F8" s="69" t="s">
        <v>29</v>
      </c>
      <c r="G8" s="68">
        <v>5</v>
      </c>
      <c r="H8" s="70" t="s">
        <v>173</v>
      </c>
      <c r="I8" s="71">
        <v>4</v>
      </c>
      <c r="J8" s="71" t="s">
        <v>179</v>
      </c>
      <c r="K8" s="71" t="s">
        <v>176</v>
      </c>
      <c r="L8" s="71">
        <v>11</v>
      </c>
      <c r="M8" s="71" t="s">
        <v>176</v>
      </c>
      <c r="N8" s="71" t="s">
        <v>176</v>
      </c>
      <c r="O8" s="72">
        <v>45989.997624768519</v>
      </c>
      <c r="P8" s="71" t="s">
        <v>180</v>
      </c>
      <c r="Q8" s="71" t="s">
        <v>179</v>
      </c>
      <c r="R8" s="72"/>
      <c r="S8" s="71">
        <v>12</v>
      </c>
      <c r="T8" s="71">
        <v>1</v>
      </c>
      <c r="U8" s="76">
        <v>0.1</v>
      </c>
      <c r="V8" s="74">
        <v>14.3</v>
      </c>
    </row>
    <row r="9" spans="2:22" x14ac:dyDescent="0.35">
      <c r="B9" s="61">
        <v>4</v>
      </c>
      <c r="C9" s="68">
        <v>4</v>
      </c>
      <c r="D9" s="68" t="s">
        <v>55</v>
      </c>
      <c r="E9" s="68">
        <v>6</v>
      </c>
      <c r="F9" s="69" t="s">
        <v>24</v>
      </c>
      <c r="G9" s="68">
        <v>8</v>
      </c>
      <c r="H9" s="70" t="s">
        <v>171</v>
      </c>
      <c r="I9" s="71">
        <v>1</v>
      </c>
      <c r="J9" s="71" t="s">
        <v>176</v>
      </c>
      <c r="K9" s="71" t="s">
        <v>176</v>
      </c>
      <c r="L9" s="71">
        <v>1</v>
      </c>
      <c r="M9" s="71" t="s">
        <v>176</v>
      </c>
      <c r="N9" s="71" t="s">
        <v>176</v>
      </c>
      <c r="O9" s="72">
        <v>45990.013088541666</v>
      </c>
      <c r="P9" s="71" t="s">
        <v>177</v>
      </c>
      <c r="Q9" s="71" t="s">
        <v>176</v>
      </c>
      <c r="R9" s="72"/>
      <c r="S9" s="71">
        <v>10</v>
      </c>
      <c r="T9" s="71">
        <v>1</v>
      </c>
      <c r="U9" s="76">
        <v>0.11</v>
      </c>
      <c r="V9" s="74">
        <v>12.21</v>
      </c>
    </row>
    <row r="10" spans="2:22" x14ac:dyDescent="0.35">
      <c r="C10" s="52"/>
    </row>
    <row r="11" spans="2:22" x14ac:dyDescent="0.35">
      <c r="C11" s="52"/>
    </row>
    <row r="12" spans="2:22" x14ac:dyDescent="0.35">
      <c r="C12" s="52"/>
    </row>
    <row r="13" spans="2:22" x14ac:dyDescent="0.35">
      <c r="C13" s="52"/>
    </row>
    <row r="14" spans="2:22" x14ac:dyDescent="0.35">
      <c r="C14" s="52"/>
    </row>
    <row r="15" spans="2:22" x14ac:dyDescent="0.35">
      <c r="C15" s="52"/>
    </row>
  </sheetData>
  <mergeCells count="1">
    <mergeCell ref="J4:M4"/>
  </mergeCells>
  <hyperlinks>
    <hyperlink ref="B6" location="'Ordem de Serviço'!B6" display="Editar" xr:uid="{21FBD012-2362-40AC-BE5E-C60441D6B552}"/>
    <hyperlink ref="B7" location="'Ordem de Serviço'!B7" display="Editar" xr:uid="{A094B12B-FB6D-467A-9843-F5F3F53F5CA2}"/>
    <hyperlink ref="B8" location="'Ordem de Serviço'!B8" display="Editar" xr:uid="{35FC004A-311B-4C26-8D3A-329DB2EEE279}"/>
    <hyperlink ref="B9" location="'Ordem de Serviço'!B9" display="Editar" xr:uid="{971F283C-A60C-4A05-8723-44B711F535C0}"/>
  </hyperlink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8DEF-F075-4F67-A879-3AE6FCA0FDCE}">
  <sheetPr codeName="sh_relatorio_estoque">
    <tabColor theme="0"/>
  </sheetPr>
  <dimension ref="A5:H12"/>
  <sheetViews>
    <sheetView zoomScaleNormal="100" workbookViewId="0">
      <selection activeCell="D15" sqref="D15"/>
    </sheetView>
  </sheetViews>
  <sheetFormatPr defaultColWidth="0" defaultRowHeight="15.5" x14ac:dyDescent="0.35"/>
  <cols>
    <col min="1" max="1" width="3.1796875" style="9" customWidth="1"/>
    <col min="2" max="2" width="14.90625" style="9" bestFit="1" customWidth="1"/>
    <col min="3" max="7" width="42.08984375" style="9" customWidth="1"/>
    <col min="8" max="8" width="4.7265625" style="9" customWidth="1"/>
    <col min="9" max="10" width="17.26953125" style="9" hidden="1" customWidth="1"/>
    <col min="11" max="16384" width="17.26953125" style="9" hidden="1"/>
  </cols>
  <sheetData>
    <row r="5" spans="2:7" s="17" customFormat="1" x14ac:dyDescent="0.35">
      <c r="B5" s="78" t="s">
        <v>181</v>
      </c>
      <c r="C5" s="78" t="s">
        <v>182</v>
      </c>
      <c r="D5" s="78" t="s">
        <v>183</v>
      </c>
      <c r="E5" s="78" t="s">
        <v>184</v>
      </c>
      <c r="F5" s="78" t="s">
        <v>185</v>
      </c>
      <c r="G5" s="78" t="s">
        <v>186</v>
      </c>
    </row>
    <row r="6" spans="2:7" x14ac:dyDescent="0.35">
      <c r="B6" t="s">
        <v>176</v>
      </c>
      <c r="C6" t="s">
        <v>52</v>
      </c>
      <c r="D6" t="s">
        <v>131</v>
      </c>
      <c r="E6">
        <v>50</v>
      </c>
      <c r="F6">
        <v>3</v>
      </c>
      <c r="G6">
        <v>47</v>
      </c>
    </row>
    <row r="7" spans="2:7" x14ac:dyDescent="0.35">
      <c r="B7" t="s">
        <v>114</v>
      </c>
      <c r="C7" t="s">
        <v>165</v>
      </c>
      <c r="D7" t="s">
        <v>131</v>
      </c>
      <c r="E7">
        <v>22</v>
      </c>
      <c r="F7">
        <v>0</v>
      </c>
      <c r="G7">
        <v>22</v>
      </c>
    </row>
    <row r="8" spans="2:7" x14ac:dyDescent="0.35">
      <c r="B8" t="s">
        <v>75</v>
      </c>
      <c r="C8" t="s">
        <v>139</v>
      </c>
      <c r="D8" t="s">
        <v>140</v>
      </c>
      <c r="E8">
        <v>80</v>
      </c>
      <c r="F8">
        <v>0</v>
      </c>
      <c r="G8">
        <v>80</v>
      </c>
    </row>
    <row r="9" spans="2:7" x14ac:dyDescent="0.35">
      <c r="B9" t="s">
        <v>187</v>
      </c>
      <c r="C9" t="s">
        <v>173</v>
      </c>
      <c r="D9" t="s">
        <v>170</v>
      </c>
      <c r="E9">
        <v>20</v>
      </c>
      <c r="F9">
        <v>4</v>
      </c>
      <c r="G9">
        <v>16</v>
      </c>
    </row>
    <row r="10" spans="2:7" x14ac:dyDescent="0.35">
      <c r="B10" t="s">
        <v>20</v>
      </c>
      <c r="C10" t="s">
        <v>161</v>
      </c>
      <c r="D10" t="s">
        <v>167</v>
      </c>
      <c r="E10">
        <v>100</v>
      </c>
      <c r="F10">
        <v>0</v>
      </c>
      <c r="G10">
        <v>100</v>
      </c>
    </row>
    <row r="11" spans="2:7" x14ac:dyDescent="0.35">
      <c r="B11" t="s">
        <v>188</v>
      </c>
      <c r="C11" t="s">
        <v>169</v>
      </c>
      <c r="D11" t="s">
        <v>170</v>
      </c>
      <c r="E11">
        <v>40</v>
      </c>
      <c r="F11">
        <v>0</v>
      </c>
      <c r="G11">
        <v>40</v>
      </c>
    </row>
    <row r="12" spans="2:7" x14ac:dyDescent="0.35">
      <c r="B12" t="s">
        <v>189</v>
      </c>
      <c r="C12" t="s">
        <v>171</v>
      </c>
      <c r="D12" t="s">
        <v>131</v>
      </c>
      <c r="E12">
        <v>26</v>
      </c>
      <c r="F12">
        <v>2</v>
      </c>
      <c r="G12">
        <v>24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28DFC5-A3AA-40EF-8B88-1DF599C73B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Home</vt:lpstr>
      <vt:lpstr>Rng_id_funcionario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Vidal de Souza</dc:creator>
  <cp:lastModifiedBy>Sara Vidal de Souza</cp:lastModifiedBy>
  <dcterms:created xsi:type="dcterms:W3CDTF">2025-10-04T19:06:42Z</dcterms:created>
  <dcterms:modified xsi:type="dcterms:W3CDTF">2025-11-29T00:09:39Z</dcterms:modified>
</cp:coreProperties>
</file>